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shaap/projects/open_pronghorn/validation/corrosion/calibration/data/"/>
    </mc:Choice>
  </mc:AlternateContent>
  <xr:revisionPtr revIDLastSave="0" documentId="13_ncr:1_{DF86D68E-1C00-C744-A5EE-82E3D45DCF9F}" xr6:coauthVersionLast="47" xr6:coauthVersionMax="47" xr10:uidLastSave="{00000000-0000-0000-0000-000000000000}"/>
  <bookViews>
    <workbookView xWindow="0" yWindow="660" windowWidth="30240" windowHeight="17580" activeTab="2" xr2:uid="{00000000-000D-0000-FFFF-FFFF00000000}"/>
  </bookViews>
  <sheets>
    <sheet name="README" sheetId="1" r:id="rId1"/>
    <sheet name="Dashboard" sheetId="2" r:id="rId2"/>
    <sheet name="Validation_Cases" sheetId="3" r:id="rId3"/>
    <sheet name="Detailed_Measurements" sheetId="4" r:id="rId4"/>
    <sheet name="Source_Index" sheetId="5" r:id="rId5"/>
    <sheet name="Digitization_Queue" sheetId="6" r:id="rId6"/>
    <sheet name="Completeness_Map" sheetId="7" r:id="rId7"/>
    <sheet name="Variable_Dictionar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B24" i="2"/>
  <c r="B23" i="2"/>
  <c r="B22" i="2"/>
  <c r="B18" i="2"/>
  <c r="B17" i="2"/>
  <c r="B16" i="2"/>
  <c r="B15" i="2"/>
  <c r="B14" i="2"/>
  <c r="B13" i="2"/>
  <c r="B12" i="2"/>
  <c r="B11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<sst xmlns="http://schemas.openxmlformats.org/spreadsheetml/2006/main" count="3340" uniqueCount="1958">
  <si>
    <t>MSR corrosion and plating validation evidence map</t>
  </si>
  <si>
    <t>Purpose</t>
  </si>
  <si>
    <t>Validation-oriented workbook of molten-salt-reactor corrosion, mass-transfer, and plating/deposition experiments identified from ORNL legacy reports, MSRE post-operation evidence, modern fluoride/chloride studies, and thermodynamic/data resources.</t>
  </si>
  <si>
    <t>How to use</t>
  </si>
  <si>
    <t>Start with Validation_Cases for test conditions and observables. Join case_id to Detailed_Measurements for extracted numerical values. Use Source_Index for traceability and Digitization_Queue for remaining high-value table extraction.</t>
  </si>
  <si>
    <t>Scope caveat</t>
  </si>
  <si>
    <t>This is intentionally conservative: it includes directly extracted cases, source-indexed experiments that must not be missed, and explicit extraction status. Rows marked OCR-check or source-indexed should be verified against the original scan before regulatory-grade validation use.</t>
  </si>
  <si>
    <t>Created</t>
  </si>
  <si>
    <t>2026-06-16 UTC</t>
  </si>
  <si>
    <t>Sheet</t>
  </si>
  <si>
    <t>Content</t>
  </si>
  <si>
    <t>Primary key</t>
  </si>
  <si>
    <t>Use</t>
  </si>
  <si>
    <t>Notes</t>
  </si>
  <si>
    <t>Dashboard</t>
  </si>
  <si>
    <t>Counts and coverage overview</t>
  </si>
  <si>
    <t>N/A</t>
  </si>
  <si>
    <t>program overview</t>
  </si>
  <si>
    <t>Formula counts from Validation_Cases</t>
  </si>
  <si>
    <t>Validation_Cases</t>
  </si>
  <si>
    <t>Row-level test cases and conditions</t>
  </si>
  <si>
    <t>case_id</t>
  </si>
  <si>
    <t>main validation planning table</t>
  </si>
  <si>
    <t>Primary sheet for model V&amp;V setup</t>
  </si>
  <si>
    <t>Detailed_Measurements</t>
  </si>
  <si>
    <t>Numerical/qualitative observables extracted in this pass</t>
  </si>
  <si>
    <t>direct calibration/validation targets</t>
  </si>
  <si>
    <t>Use uncertainty_or_note before fitting</t>
  </si>
  <si>
    <t>Source_Index</t>
  </si>
  <si>
    <t>Traceability and source priority</t>
  </si>
  <si>
    <t>source_id</t>
  </si>
  <si>
    <t>literature audit and retrieval</t>
  </si>
  <si>
    <t>Plain URLs included</t>
  </si>
  <si>
    <t>Digitization_Queue</t>
  </si>
  <si>
    <t>Prioritized remaining extraction tasks</t>
  </si>
  <si>
    <t>source_id/case_ids</t>
  </si>
  <si>
    <t>convert sources to model-ready arrays</t>
  </si>
  <si>
    <t>Focus here for next pass</t>
  </si>
  <si>
    <t>Completeness_Map</t>
  </si>
  <si>
    <t>Coverage by evidence family</t>
  </si>
  <si>
    <t>family</t>
  </si>
  <si>
    <t>audit against missing families</t>
  </si>
  <si>
    <t>Confidence and residual risk</t>
  </si>
  <si>
    <t>Variable_Dictionary</t>
  </si>
  <si>
    <t>Column meanings</t>
  </si>
  <si>
    <t>field</t>
  </si>
  <si>
    <t>machine/user interpretation</t>
  </si>
  <si>
    <t>Useful for importing into V&amp;V database</t>
  </si>
  <si>
    <t>MSR corrosion/plating validation dataset overview</t>
  </si>
  <si>
    <t>Metric</t>
  </si>
  <si>
    <t>Formula / value</t>
  </si>
  <si>
    <t>Use this workbook as a validation evidence map: filter Validation_Cases by priority, experiment_class, salt_system, or recommended_validation_observable; then use Detailed_Measurements for currently extracted values and Digitization_Queue for the highest-value remaining extraction work.</t>
  </si>
  <si>
    <t>Total validation cases</t>
  </si>
  <si>
    <t>Critical cases</t>
  </si>
  <si>
    <t>High-priority cases</t>
  </si>
  <si>
    <t>Detailed measurements extracted</t>
  </si>
  <si>
    <t>Source records</t>
  </si>
  <si>
    <t>Experiment family</t>
  </si>
  <si>
    <t>Case count</t>
  </si>
  <si>
    <t>Cross-cutting datasets</t>
  </si>
  <si>
    <t>MSRE reactor evidence</t>
  </si>
  <si>
    <t>Modern chloride tests</t>
  </si>
  <si>
    <t>Modern fluoride tests</t>
  </si>
  <si>
    <t>ORNL fluoride loops</t>
  </si>
  <si>
    <t>ORNL fluoroborate loops</t>
  </si>
  <si>
    <t>Tellurium and noble-metal plating</t>
  </si>
  <si>
    <t>Thermodynamic databases</t>
  </si>
  <si>
    <t>Data quality</t>
  </si>
  <si>
    <t>A</t>
  </si>
  <si>
    <t>A-</t>
  </si>
  <si>
    <t>B</t>
  </si>
  <si>
    <t>C</t>
  </si>
  <si>
    <t>validation_priority</t>
  </si>
  <si>
    <t>report_or_study</t>
  </si>
  <si>
    <t>experiment_family</t>
  </si>
  <si>
    <t>experiment_class</t>
  </si>
  <si>
    <t>facility_or_test_id</t>
  </si>
  <si>
    <t>primary_model_use</t>
  </si>
  <si>
    <t>salt_system</t>
  </si>
  <si>
    <t>salt_composition_mol_percent</t>
  </si>
  <si>
    <t>materials_exposed</t>
  </si>
  <si>
    <t>specimen_or_surface_geometry</t>
  </si>
  <si>
    <t>container_material</t>
  </si>
  <si>
    <t>temperature_C_hot_or_nominal</t>
  </si>
  <si>
    <t>temperature_C_cold</t>
  </si>
  <si>
    <t>delta_T_C</t>
  </si>
  <si>
    <t>exposure_h</t>
  </si>
  <si>
    <t>circulation_or_flow</t>
  </si>
  <si>
    <t>velocity_or_flow_rate</t>
  </si>
  <si>
    <t>radiation_or_power_conditions</t>
  </si>
  <si>
    <t>cover_gas_environment</t>
  </si>
  <si>
    <t>redox_impurity_chemistry</t>
  </si>
  <si>
    <t>salt_purification_initial_condition</t>
  </si>
  <si>
    <t>measured_outputs_available</t>
  </si>
  <si>
    <t>key_numeric_outputs_extracted</t>
  </si>
  <si>
    <t>recommended_validation_observable</t>
  </si>
  <si>
    <t>data_quality</t>
  </si>
  <si>
    <t>extraction_status</t>
  </si>
  <si>
    <t>validation_notes</t>
  </si>
  <si>
    <t>source_url</t>
  </si>
  <si>
    <t>MSRE-SURV-01</t>
  </si>
  <si>
    <t>Critical</t>
  </si>
  <si>
    <t>ORNL-TM-1997</t>
  </si>
  <si>
    <t>MSRE Hastelloy N surveillance specimens - first group</t>
  </si>
  <si>
    <t>reactor surveillance</t>
  </si>
  <si>
    <t>Core surveillance assembly, group 1</t>
  </si>
  <si>
    <t>baseline in-reactor compatibility and Cr depletion check</t>
  </si>
  <si>
    <t>LiF-BeF2-ZrF4-UF4</t>
  </si>
  <si>
    <t>65-29.1-5-0.9 mol%</t>
  </si>
  <si>
    <t>Standard Hastelloy N with graphite contact</t>
  </si>
  <si>
    <t>Core stringer rods, reduced tensile sections; graphite pieces nearby</t>
  </si>
  <si>
    <t>MSRE Hastelloy N primary circuit</t>
  </si>
  <si>
    <t>645 +/- 10</t>
  </si>
  <si>
    <t>circulating fuel salt in operating MSRE</t>
  </si>
  <si>
    <t>primary loop flow from MSRE design; not row-extracted here</t>
  </si>
  <si>
    <t>7823 MWhr reactor operation; thermal dose about 1.3E20 n/cm2</t>
  </si>
  <si>
    <t>in-core fuel salt; graphite moderator</t>
  </si>
  <si>
    <t>normal MSRE fuel redox; details in MSRE chemistry reports</t>
  </si>
  <si>
    <t>operating fuel salt</t>
  </si>
  <si>
    <t>metallography, tensile tests, corrosion observations</t>
  </si>
  <si>
    <t>no corrosion observed; carbon-rich layer 1-2 mil where Hastelloy N contacted graphite</t>
  </si>
  <si>
    <t>binary/no-attack, surface layer depth, mechanical-property coupling</t>
  </si>
  <si>
    <t>case-level extracted; tabular mechanical data remain to digitize</t>
  </si>
  <si>
    <t>Use as negative corrosion benchmark under neutron flux and flowing fuel salt.</t>
  </si>
  <si>
    <t>https://digital.library.unt.edu/ark:/67531/metadc1034088/m2/1/high_res_d/4493950.pdf</t>
  </si>
  <si>
    <t>MSRE-SURV-02</t>
  </si>
  <si>
    <t>ORNL-TM-2359</t>
  </si>
  <si>
    <t>MSRE Hastelloy N surveillance specimens - second group, core modified alloys</t>
  </si>
  <si>
    <t>Core group 2, modified Ti/Zr Hastelloy N rods</t>
  </si>
  <si>
    <t>in-reactor corrosion and alloy-modification comparison</t>
  </si>
  <si>
    <t>Modified Hastelloy N, nominal Ti or Zr additions</t>
  </si>
  <si>
    <t>Core rods in surveillance basket</t>
  </si>
  <si>
    <t>650 +/- 10</t>
  </si>
  <si>
    <t>MSRE fuel loop</t>
  </si>
  <si>
    <t>total reactor operation 36,247 MWhr; thermal fluence about 4.1E20 n/cm2 (OCR exponent should be checked)</t>
  </si>
  <si>
    <t>fuel salt; graphite moderator</t>
  </si>
  <si>
    <t>normal MSRE fuel redox</t>
  </si>
  <si>
    <t>metallography, mechanical testing, corrosion acceptability</t>
  </si>
  <si>
    <t>corrosion resistance reported acceptable</t>
  </si>
  <si>
    <t>alloy-modified in-core corrosion response and surface microstructure</t>
  </si>
  <si>
    <t>case-level extracted; tables remain to digitize</t>
  </si>
  <si>
    <t>Good comparative row for modified alloys exposed in the same reactor environment as standard Hastelloy N.</t>
  </si>
  <si>
    <t>https://github.com/openmsr/msr-archive/blob/master/ocr/ORNL-TM-2359.txt</t>
  </si>
  <si>
    <t>MSRE-SURV-03</t>
  </si>
  <si>
    <t>High</t>
  </si>
  <si>
    <t>MSRE Hastelloy N surveillance specimens - second group, outside vessel</t>
  </si>
  <si>
    <t>Outside-vessel group 2 standard Hastelloy N rods</t>
  </si>
  <si>
    <t>gas-cell oxidation/nitriding control</t>
  </si>
  <si>
    <t>no salt contact</t>
  </si>
  <si>
    <t>Standard Hastelloy N</t>
  </si>
  <si>
    <t>Vertical rods about 5 in. outside vessel</t>
  </si>
  <si>
    <t>MSRE cell environment</t>
  </si>
  <si>
    <t>no salt; reactor cell gas exposure</t>
  </si>
  <si>
    <t>static gas</t>
  </si>
  <si>
    <t>thermal fluence about 1.3E20 n/cm2; lower flux than core</t>
  </si>
  <si>
    <t>N2 + 2 to 5% O2</t>
  </si>
  <si>
    <t>oxidizing cell atmosphere</t>
  </si>
  <si>
    <t>metallography and oxidation/nitriding observations</t>
  </si>
  <si>
    <t>superficial oxidation; no nitriding</t>
  </si>
  <si>
    <t>control for salt versus gas-cell exposure</t>
  </si>
  <si>
    <t>case-level extracted</t>
  </si>
  <si>
    <t>Use to separate molten-salt corrosion from hot cell gas oxidation.</t>
  </si>
  <si>
    <t>MSRE-SURV-04</t>
  </si>
  <si>
    <t>ORNL-TM-2647</t>
  </si>
  <si>
    <t>MSRE Hastelloy N surveillance specimens - third group, standard core</t>
  </si>
  <si>
    <t>Core group 3, standard Hastelloy N</t>
  </si>
  <si>
    <t>longer in-reactor compatibility; Cr depletion; Te crack precursor context</t>
  </si>
  <si>
    <t>Core surveillance rods</t>
  </si>
  <si>
    <t>650</t>
  </si>
  <si>
    <t>thermal fluence about 9.4E20 n/cm2 (search snippet OCR exponent)</t>
  </si>
  <si>
    <t>metallography, mechanical testing, corrosion observations</t>
  </si>
  <si>
    <t>search-result abstract gives core exposure 15,289 h at 650 C</t>
  </si>
  <si>
    <t>in-core long-exposure corrosion and surface cracking data</t>
  </si>
  <si>
    <t>case-level extracted from indexed abstract; full table digitization needed</t>
  </si>
  <si>
    <t>High-value extension between group 2 and group 4 exposures.</t>
  </si>
  <si>
    <t>https://moltensalt.org/references/static/downloads/pdf/ORNL-TM-2647.pdf</t>
  </si>
  <si>
    <t>MSRE-SURV-05</t>
  </si>
  <si>
    <t>MSRE Hastelloy N surveillance specimens - third group, modified core</t>
  </si>
  <si>
    <t>Core group 3, modified Hastelloy N</t>
  </si>
  <si>
    <t>modified alloy corrosion/radiation comparison</t>
  </si>
  <si>
    <t>Modified Hastelloy N</t>
  </si>
  <si>
    <t>thermal fluence about 5.3E20 n/cm2 (search snippet OCR exponent)</t>
  </si>
  <si>
    <t>exposed 9,789 h at 650 C</t>
  </si>
  <si>
    <t>modified-alloy Cr depletion and surface cracking</t>
  </si>
  <si>
    <t>Complements ORNL-TM-2359 modified alloy row.</t>
  </si>
  <si>
    <t>MSRE-SURV-06</t>
  </si>
  <si>
    <t>MSRE Hastelloy N surveillance specimens - third group, cell environment</t>
  </si>
  <si>
    <t>Outside-vessel group 3</t>
  </si>
  <si>
    <t>gas-cell oxidation control</t>
  </si>
  <si>
    <t>Outside-vessel rods</t>
  </si>
  <si>
    <t>thermal fluence about 2.6E20 n/cm2 (search snippet OCR exponent)</t>
  </si>
  <si>
    <t>metallography, oxidation observations</t>
  </si>
  <si>
    <t>exposed 20,789 h at 650 C</t>
  </si>
  <si>
    <t>long-term gas-cell oxidation baseline</t>
  </si>
  <si>
    <t>Useful non-salt environmental baseline for MSRE materials.</t>
  </si>
  <si>
    <t>MSRE-SURV-07</t>
  </si>
  <si>
    <t>ORNL-TM-3063</t>
  </si>
  <si>
    <t>MSRE Hastelloy N surveillance specimens - fourth group, standard core</t>
  </si>
  <si>
    <t>Core group 4, standard Hastelloy N</t>
  </si>
  <si>
    <t>longest MSRE in-core corrosion and Cr diffusion validation</t>
  </si>
  <si>
    <t>Core surveillance rods/stringers</t>
  </si>
  <si>
    <t>thermal fluence about 1.5E22 n/cm2 in detail section; fast &gt;50 keV about 1.1E21 n/cm2</t>
  </si>
  <si>
    <t>Cr salt content changed after salt reprocessing and Be redox adjustment</t>
  </si>
  <si>
    <t>Cr depletion/removal depth, metallography, salt Cr, diffusion coefficient</t>
  </si>
  <si>
    <t>selective Cr removal; salt Cr about 40 to 100 ppm after reprocessing; apparent uniform Cr removal about 0.3 mil; D_Cr about 4E-14 cm2/s</t>
  </si>
  <si>
    <t>Cr diffusion/depletion and long in-core attack</t>
  </si>
  <si>
    <t>case-level and key numerical outputs extracted</t>
  </si>
  <si>
    <t>One of the strongest validation anchors for in-reactor Hastelloy N corrosion.</t>
  </si>
  <si>
    <t>https://www.osti.gov/servlets/purl/4093896</t>
  </si>
  <si>
    <t>MSRE-SURV-08</t>
  </si>
  <si>
    <t>MSRE Hastelloy N surveillance specimens - fourth group, modified core</t>
  </si>
  <si>
    <t>Core group 4, modified Hastelloy N</t>
  </si>
  <si>
    <t>modified-alloy comparison after MSRE operation</t>
  </si>
  <si>
    <t>in-core neutron flux</t>
  </si>
  <si>
    <t>metallography, mechanical properties, corrosion observations</t>
  </si>
  <si>
    <t>exposed 7,244 h at 650 C</t>
  </si>
  <si>
    <t>modified-alloy corrosion and Te-cracking resistance context</t>
  </si>
  <si>
    <t>Needed to compare modified alloy performance with standard Hastelloy N.</t>
  </si>
  <si>
    <t>MSRE-SURV-09</t>
  </si>
  <si>
    <t>MSRE Hastelloy N surveillance specimens - fourth group, outside vessel</t>
  </si>
  <si>
    <t>Outside-vessel group 4</t>
  </si>
  <si>
    <t>Hastelloy N</t>
  </si>
  <si>
    <t>outside-core specimens</t>
  </si>
  <si>
    <t>outside core neutron flux</t>
  </si>
  <si>
    <t>metallography and mechanical testing</t>
  </si>
  <si>
    <t>exposed 17,033 h to N2 + 2 to 5% O2</t>
  </si>
  <si>
    <t>gas-cell oxidation/nitriding baseline</t>
  </si>
  <si>
    <t>Provides environmental control for salt-exposed MSRE specimens.</t>
  </si>
  <si>
    <t>MSRE-SURV-10</t>
  </si>
  <si>
    <t>MSRE surveillance static control pot</t>
  </si>
  <si>
    <t>static control pot</t>
  </si>
  <si>
    <t>Static control pot with depleted fuel salt</t>
  </si>
  <si>
    <t>separate radiation/flow effects from salt chemistry</t>
  </si>
  <si>
    <t>LiF-BeF2-ZrF4-UF4 depleted-U fuel-salt analog</t>
  </si>
  <si>
    <t>65-29.1-5-0.9 mol% nominal depleted-U salt</t>
  </si>
  <si>
    <t>Hastelloy N and graphite controls</t>
  </si>
  <si>
    <t>static pot matched to reactor temperature</t>
  </si>
  <si>
    <t>Hastelloy N pot</t>
  </si>
  <si>
    <t>matched to MSRE; around 650</t>
  </si>
  <si>
    <t>group-dependent</t>
  </si>
  <si>
    <t>static salt; no neutron flux</t>
  </si>
  <si>
    <t>static</t>
  </si>
  <si>
    <t>no neutron flux</t>
  </si>
  <si>
    <t>sealed/static salt environment</t>
  </si>
  <si>
    <t>depleted-U salt; no fission products</t>
  </si>
  <si>
    <t>control pot temperature controlled by MSRE computer</t>
  </si>
  <si>
    <t>control measurements for same salt without flux/flow</t>
  </si>
  <si>
    <t>conditions documented; detailed outputs in group reports</t>
  </si>
  <si>
    <t>thermal-static baseline against in-core flowing and irradiated specimens</t>
  </si>
  <si>
    <t>condition indexed; row-level results need group-table digitization</t>
  </si>
  <si>
    <t>Important for decoupling radiation, fission products, and circulation.</t>
  </si>
  <si>
    <t>MSRE-FP-01</t>
  </si>
  <si>
    <t>ORNL-4865</t>
  </si>
  <si>
    <t>Fission product behavior in the MSRE - salt samples and inventories</t>
  </si>
  <si>
    <t>reactor fission-product transport</t>
  </si>
  <si>
    <t>MSRE salt, gas, surveillance, component sample program</t>
  </si>
  <si>
    <t>noble-metal depletion/plating; salt-soluble fission product inventory</t>
  </si>
  <si>
    <t>LiF-BeF2-ZrF4-UF4 fuel salt</t>
  </si>
  <si>
    <t>MSRE fuel salt; see ORNL-4865 tables</t>
  </si>
  <si>
    <t>system surfaces: Hastelloy N, graphite, salt-gas interface</t>
  </si>
  <si>
    <t>various salt/gas/sample geometries</t>
  </si>
  <si>
    <t>MSRE primary system</t>
  </si>
  <si>
    <t>nominal operating around 650</t>
  </si>
  <si>
    <t>core/HX gradient; 40 F across core/HX in MSRE summaries</t>
  </si>
  <si>
    <t>235U: &gt;9000 effective full-power h; 233U: &gt;5100 effective full-power h</t>
  </si>
  <si>
    <t>circulating fuel salt plus pump-bowl bypass</t>
  </si>
  <si>
    <t>about 1200 gpm main-loop flow; 4 L(STP)/min He purge for off-gas sampling context</t>
  </si>
  <si>
    <t>7.3 MWt MSRE operation phases</t>
  </si>
  <si>
    <t>helium cover/purge in pump bowl and gas system</t>
  </si>
  <si>
    <t>U4+/U3+ redox history; Be additions affected Nb behavior</t>
  </si>
  <si>
    <t>radioisotopic inventories, salt samples, gas samples, deposition intensities, component surface deposits</t>
  </si>
  <si>
    <t>noble metals Nb, Mo, Tc, Ru, Ag, Sb, Te deposited ubiquitously; salt proper depleted; &gt;9000 and &gt;5100 EFPH datasets</t>
  </si>
  <si>
    <t>species deposition, salt depletion, gas/off-gas transport, surface inventory</t>
  </si>
  <si>
    <t>master source; tables require targeted digitization</t>
  </si>
  <si>
    <t>This is the master dataset for plating/deposition validation in MSRE.</t>
  </si>
  <si>
    <t>https://www.osti.gov/servlets/purl/4077644</t>
  </si>
  <si>
    <t>MSRE-FP-02</t>
  </si>
  <si>
    <t>MSRE final surveillance array noble-metal deposition</t>
  </si>
  <si>
    <t>reactor fission-product plating</t>
  </si>
  <si>
    <t>Final graphite/Hastelloy N surveillance array</t>
  </si>
  <si>
    <t>surface deposition dependence on material and flow regime</t>
  </si>
  <si>
    <t>MSRE fuel salt</t>
  </si>
  <si>
    <t>Hastelloy N and graphite paired specimens</t>
  </si>
  <si>
    <t>final array with matched geometries in laminar/turbulent flow regions</t>
  </si>
  <si>
    <t>MSRE core surveillance fixture</t>
  </si>
  <si>
    <t>about 650</t>
  </si>
  <si>
    <t>last four months of MSRE operations</t>
  </si>
  <si>
    <t>circulating fuel salt; flow-regime differentiated</t>
  </si>
  <si>
    <t>laminar and turbulent regions</t>
  </si>
  <si>
    <t>irradiated reactor operation</t>
  </si>
  <si>
    <t>noble metals in reduced metallic/particulate forms</t>
  </si>
  <si>
    <t>relative deposition intensity by species, surface, and flow regime</t>
  </si>
  <si>
    <t>metal deposits heavier than graphite; turbulent metal heavier than laminar for several species; Te/Sb emphasized</t>
  </si>
  <si>
    <t>flow-dependent plating/deposition boundary condition validation</t>
  </si>
  <si>
    <t>case-level extracted; Table 12.2 should be digitized</t>
  </si>
  <si>
    <t>Directly maps plating to surface material and flow regime.</t>
  </si>
  <si>
    <t>MSRE-FP-03</t>
  </si>
  <si>
    <t>MSRE post-operation component surface deposits</t>
  </si>
  <si>
    <t>post-operation component examination</t>
  </si>
  <si>
    <t>Heat exchanger shell/tube, pump bowl, core rod thimble, graphite</t>
  </si>
  <si>
    <t>system-scale plating inventory and location dependence</t>
  </si>
  <si>
    <t>Hastelloy N metal components and graphite core surfaces</t>
  </si>
  <si>
    <t>excised component surface segments after shutdown</t>
  </si>
  <si>
    <t>operating temperature history; section dependent</t>
  </si>
  <si>
    <t>full MSRE operation; post-operation examination about one year after shutdown for some components</t>
  </si>
  <si>
    <t>circulating primary loop during operation</t>
  </si>
  <si>
    <t>flow regime varies by component; 1200 gpm main flow context</t>
  </si>
  <si>
    <t>irradiated reactor history</t>
  </si>
  <si>
    <t>fuel salt, pump bowl gas, off-gas contact for some components</t>
  </si>
  <si>
    <t>noble-metal fission products; tellurium penetration/cracks</t>
  </si>
  <si>
    <t>radiochemical surface deposits, relative deposition intensity, metal transfer</t>
  </si>
  <si>
    <t>Table 12.2 gives component relative deposition intensities; metal area 26%, graphite 74% of total surface</t>
  </si>
  <si>
    <t>component-wise plating and inventory closure</t>
  </si>
  <si>
    <t>case-level extracted; tables and surface areas need digitization</t>
  </si>
  <si>
    <t>Essential for validating whole-loop source/sink distribution.</t>
  </si>
  <si>
    <t>MSRE-FP-04</t>
  </si>
  <si>
    <t>MSRE off-gas line and pump bowl deposits</t>
  </si>
  <si>
    <t>off-gas/aerosol deposition</t>
  </si>
  <si>
    <t>Pump bowl mist shield, off-gas jumper line, particle trap</t>
  </si>
  <si>
    <t>aerosol/particulate noble-metal transport and deposition</t>
  </si>
  <si>
    <t>LiF-BeF2-ZrF4-UF4 fuel salt with helium purge</t>
  </si>
  <si>
    <t>Hastelloy N/off-gas line surfaces, mist shield deposits</t>
  </si>
  <si>
    <t>gas-line sections, dust samples, pump bowl samples</t>
  </si>
  <si>
    <t>MSRE off-gas system</t>
  </si>
  <si>
    <t>temperature varies by line position</t>
  </si>
  <si>
    <t>run-dependent; e.g. after run 14, run 16, run 18</t>
  </si>
  <si>
    <t>helium purge and off-gas flow</t>
  </si>
  <si>
    <t>4 L(STP)/min He purge cited in summary</t>
  </si>
  <si>
    <t>reactor fission-product source</t>
  </si>
  <si>
    <t>helium with salt mist/aerosol, oil-cracking products noted</t>
  </si>
  <si>
    <t>noble metals in particulate/aerosol forms; contamination caveats</t>
  </si>
  <si>
    <t>operating system samples</t>
  </si>
  <si>
    <t>radiochemistry, dust composition, deposition estimates</t>
  </si>
  <si>
    <t>thermophoresis indicated dominant; noble-metal fraction to off-gas much below 1% in preferred interpretation</t>
  </si>
  <si>
    <t>gas/aerosol transport submodel validation</t>
  </si>
  <si>
    <t>condition indexed; table digitization needed</t>
  </si>
  <si>
    <t>Use with caution: authors flag contamination in earlier gas samples.</t>
  </si>
  <si>
    <t>MSRE-FP-05</t>
  </si>
  <si>
    <t>ORNL-TM-3884</t>
  </si>
  <si>
    <t>Behavior of noble-metal fission products in the MSRE</t>
  </si>
  <si>
    <t>MSRE noble-metal behavior analysis</t>
  </si>
  <si>
    <t>simplified model equations for plating and salt-gas interface accumulation</t>
  </si>
  <si>
    <t>65-29.1-5.0-0.9 mol% in MSRE summary</t>
  </si>
  <si>
    <t>Hastelloy N, graphite, liquid-gas interface</t>
  </si>
  <si>
    <t>system samples and analytical model</t>
  </si>
  <si>
    <t>nominal about 650</t>
  </si>
  <si>
    <t>40 F across core/HX in summary</t>
  </si>
  <si>
    <t>7.3 MWt reactor; operation ended Dec 1969</t>
  </si>
  <si>
    <t>1200 gpm main fuel flow; about 25 s circuit time in model</t>
  </si>
  <si>
    <t>1200 gpm; well-stirred pot assumption due to about 25 s circuit time</t>
  </si>
  <si>
    <t>7.3 MWt MSRE</t>
  </si>
  <si>
    <t>pump bowl gas interface and fuel salt</t>
  </si>
  <si>
    <t>UF3/redox reduces noble metals; noble metals insoluble/unwet by salt</t>
  </si>
  <si>
    <t>deposition model, noble metal sample data summary, system conditions</t>
  </si>
  <si>
    <t>noble metals found on Hastelloy N piping, graphite, salt-gas interface, pump bowl, off-gas samples</t>
  </si>
  <si>
    <t>plating kinetics and inventory balance model benchmark</t>
  </si>
  <si>
    <t>model/source conditions extracted; underlying data in ORNL-4865</t>
  </si>
  <si>
    <t>Good for translating MSRE data into a validation model form.</t>
  </si>
  <si>
    <t>https://openmsr.github.io/msr-archive/ocr/ORNL-TM-3884.txt</t>
  </si>
  <si>
    <t>MSRE-TE-01</t>
  </si>
  <si>
    <t>ORNL-TM-6002</t>
  </si>
  <si>
    <t>MSRE tellurium-induced grain-boundary cracking context</t>
  </si>
  <si>
    <t>reactor/bench bridge</t>
  </si>
  <si>
    <t>MSRE exposed Hastelloy N plus simulated Te experiments</t>
  </si>
  <si>
    <t>Te embrittlement/plating and redox/alloy mitigation</t>
  </si>
  <si>
    <t>LiF-BeF2-ZrF4-UF4 in MSRE; LiF-BeF2-ThF4 in tests</t>
  </si>
  <si>
    <t>MSRE fuel salt and 72-16-12 mol% LiF-BeF2-ThF4 test salt</t>
  </si>
  <si>
    <t>Hastelloy N standard and Nb-modified variants</t>
  </si>
  <si>
    <t>surveillance specimens and bench tensile specimens</t>
  </si>
  <si>
    <t>MSRE and bench pots/capsules</t>
  </si>
  <si>
    <t>650 to 700 in tests</t>
  </si>
  <si>
    <t>MSRE exposure plus bench tests 170 to 5000 h</t>
  </si>
  <si>
    <t>MSRE circulating; bench mostly static/stirred</t>
  </si>
  <si>
    <t>MSRE loop and static/stirred pots</t>
  </si>
  <si>
    <t>fission product Te in MSRE; TeGen in-reactor capsules noted</t>
  </si>
  <si>
    <t>fuel salt, static pots, stirred pot</t>
  </si>
  <si>
    <t>Cr tellurides, Ni3Te2, U(IV)/U(III) redox controls</t>
  </si>
  <si>
    <t>molten fluoride salt test pots/capsules</t>
  </si>
  <si>
    <t>crack number/depth, AES Te penetration, salt Te/Cr analysis</t>
  </si>
  <si>
    <t>Te detected at affected MSRE grain boundaries; Nb additions and reducing salt potential reduce cracking</t>
  </si>
  <si>
    <t>Te-induced IGC and plating/penetration validation</t>
  </si>
  <si>
    <t>case-level extracted; tables/figures need digitization</t>
  </si>
  <si>
    <t>Bridges MSRE observations to controlled Te activity/redox experiments.</t>
  </si>
  <si>
    <t>https://www.osti.gov/servlets/purl/7295251</t>
  </si>
  <si>
    <t>ORNL-FL-01</t>
  </si>
  <si>
    <t>ORNL-TM-4286</t>
  </si>
  <si>
    <t>Loop 1258: 304L stainless thermal-convection loop in MSBR fuel-like salt</t>
  </si>
  <si>
    <t>thermal convection loop</t>
  </si>
  <si>
    <t>Loop 1258</t>
  </si>
  <si>
    <t>temperature-gradient mass transfer, non-Hastelloy corrosion benchmark</t>
  </si>
  <si>
    <t>LiF-BeF2-ZrF4-UF4-ThF4</t>
  </si>
  <si>
    <t>70-23-5-1-1 mol%</t>
  </si>
  <si>
    <t>304L stainless steel loop and specimens</t>
  </si>
  <si>
    <t>loop with removable specimens; details in ORNL-TM-4286</t>
  </si>
  <si>
    <t>304L stainless steel</t>
  </si>
  <si>
    <t>688</t>
  </si>
  <si>
    <t>588</t>
  </si>
  <si>
    <t>100</t>
  </si>
  <si>
    <t>83516</t>
  </si>
  <si>
    <t>thermal convection density-driven flow</t>
  </si>
  <si>
    <t>1.5 to 7 ft/min typical across loops; loop-specific not extracted</t>
  </si>
  <si>
    <t>out-of-reactor</t>
  </si>
  <si>
    <t>helium cover gas after purification typical</t>
  </si>
  <si>
    <t>fuel-like salt; redox by salt chemistry</t>
  </si>
  <si>
    <t>dry/vacuum bakeout, flush charge, HF/H2/H2 purification typical for salt batches</t>
  </si>
  <si>
    <t>weight change, void depth, composition profiles, Cr depletion</t>
  </si>
  <si>
    <t>9.5 yr; max uniform corrosion about 0.86 mil/yr; voids about 10 mil; Cr depletion</t>
  </si>
  <si>
    <t>Cr/Fe selective dissolution and mass-transfer rate</t>
  </si>
  <si>
    <t>case-level and key outputs extracted</t>
  </si>
  <si>
    <t>Long-duration adverse-material benchmark.</t>
  </si>
  <si>
    <t>https://github.com/openmsr/msr-archive/blob/master/ocr/ORNL-TM-4286.txt</t>
  </si>
  <si>
    <t>ORNL-FL-02</t>
  </si>
  <si>
    <t>Loop 15: Hastelloy N in LiF-BeF2-ThF4</t>
  </si>
  <si>
    <t>Loop 15</t>
  </si>
  <si>
    <t>Hastelloy N compatibility in thorium-bearing fluoride salt</t>
  </si>
  <si>
    <t>LiF-BeF2-ThF4</t>
  </si>
  <si>
    <t>73-2-25 mol%</t>
  </si>
  <si>
    <t>removable specimens</t>
  </si>
  <si>
    <t>677</t>
  </si>
  <si>
    <t>622</t>
  </si>
  <si>
    <t>55</t>
  </si>
  <si>
    <t>2003</t>
  </si>
  <si>
    <t>thermal convection</t>
  </si>
  <si>
    <t>1.5 to 7 ft/min typical</t>
  </si>
  <si>
    <t>helium cover gas typical</t>
  </si>
  <si>
    <t>high-purity fluoride salt</t>
  </si>
  <si>
    <t>salt constituents purified with HF/H2/H2; flush charge typical</t>
  </si>
  <si>
    <t>weight change, metallography, salt chemistry</t>
  </si>
  <si>
    <t>conditions from Table 1; numeric corrosion outputs require report tables</t>
  </si>
  <si>
    <t>Hastelloy N mass transfer and Cr depletion</t>
  </si>
  <si>
    <t>condition-indexed; row outputs need digitization</t>
  </si>
  <si>
    <t>Shorter duration companion to Loop 15A.</t>
  </si>
  <si>
    <t>ORNL-FL-03</t>
  </si>
  <si>
    <t>Loop 15A: Hastelloy N in LiF-BeF2-ThF4</t>
  </si>
  <si>
    <t>Loop 15A</t>
  </si>
  <si>
    <t>long Hastelloy N compatibility in thorium-bearing fluoride salt</t>
  </si>
  <si>
    <t>39476</t>
  </si>
  <si>
    <t>conditions from Table 1; detailed outputs require table/curve digitization</t>
  </si>
  <si>
    <t>long-duration Hastelloy N Cr depletion/mass transfer</t>
  </si>
  <si>
    <t>Important long exposure with low deltaT.</t>
  </si>
  <si>
    <t>ORNL-FL-04</t>
  </si>
  <si>
    <t>ORNL-TM-4188</t>
  </si>
  <si>
    <t>NCL-16 before FeF2 additions: Hastelloy N in high-purity LiF-BeF2-UF4</t>
  </si>
  <si>
    <t>Loop 16 / NCL-16 pre-FeF2</t>
  </si>
  <si>
    <t>baseline high-purity fluoride compatibility and Cr mass transfer</t>
  </si>
  <si>
    <t>LiF-BeF2-UF4</t>
  </si>
  <si>
    <t>65.5-34.0-0.5 mol%</t>
  </si>
  <si>
    <t>Standard and Ti-modified Hastelloy N</t>
  </si>
  <si>
    <t>14 specimens, 7 hot-leg and 7 cold-leg; about 1.9 x 0.95 x 0.076 cm</t>
  </si>
  <si>
    <t>704</t>
  </si>
  <si>
    <t>538</t>
  </si>
  <si>
    <t>166</t>
  </si>
  <si>
    <t>29500</t>
  </si>
  <si>
    <t>density-driven; typical loop range 1.5 to 7 ft/min</t>
  </si>
  <si>
    <t>He cover gas 99.998%, about 5 psig</t>
  </si>
  <si>
    <t>high-purity salt; pre-FeF2 baseline</t>
  </si>
  <si>
    <t>HF/H2 at 650 C; H2 at 700 C; 24 h flush at max temperature</t>
  </si>
  <si>
    <t>weight change, salt Cr/Fe change, metallography</t>
  </si>
  <si>
    <t>max weight loss 2.9 mg/cm2; max gain 1.7 mg/cm2; max uniform corrosion 0.04 mil/yr; salt Cr +500 ppm; Fe -100 ppm</t>
  </si>
  <si>
    <t>baseline mass-transfer and impurity-free dissolution rate</t>
  </si>
  <si>
    <t>One of the best controlled long thermal-gradient fluoride loop datasets.</t>
  </si>
  <si>
    <t>https://www.osti.gov/servlets/purl/4597158</t>
  </si>
  <si>
    <t>ORNL-FL-05</t>
  </si>
  <si>
    <t>NCL-16 after FeF2 additions: oxidizing-impurity perturbation</t>
  </si>
  <si>
    <t>thermal convection loop with impurity perturbation</t>
  </si>
  <si>
    <t>Loop 16 / NCL-16 FeF2 additions</t>
  </si>
  <si>
    <t>redox/oxidizing impurity acceleration of mass transfer and cracking</t>
  </si>
  <si>
    <t>LiF-BeF2-UF4 + FeF2</t>
  </si>
  <si>
    <t>65.5-34.0-0.5 mol% plus two 500 ppm FeF2 additions</t>
  </si>
  <si>
    <t>same specimen train as NCL-16</t>
  </si>
  <si>
    <t>2900 after FeF2; 450 h subinterval noted</t>
  </si>
  <si>
    <t>density-driven</t>
  </si>
  <si>
    <t>He cover gas</t>
  </si>
  <si>
    <t>FeF2 oxidizing additions; two additions of 500 ppm</t>
  </si>
  <si>
    <t>same purified salt history as NCL-16</t>
  </si>
  <si>
    <t>accelerated weight change, cracks/voids, salt chemistry</t>
  </si>
  <si>
    <t>450 h changes comparable to previous 10,000 h; after 2900 h weight losses six times previous 29,500 h; cracks to about 0.5 mil</t>
  </si>
  <si>
    <t>redox perturbation sensitivity and transition from compatibility to attack</t>
  </si>
  <si>
    <t>Excellent validation case for redox-potential dependence.</t>
  </si>
  <si>
    <t>ORNL-FL-06</t>
  </si>
  <si>
    <t>Loop 16A: Hastelloy N in LiF-BeF2-UF4</t>
  </si>
  <si>
    <t>Loop 16A</t>
  </si>
  <si>
    <t>repeat/variant of NCL-16 family</t>
  </si>
  <si>
    <t>534</t>
  </si>
  <si>
    <t>170</t>
  </si>
  <si>
    <t>5878</t>
  </si>
  <si>
    <t>standard ORNL purification and flush</t>
  </si>
  <si>
    <t>conditions from Table 1; outputs require detailed table digitization</t>
  </si>
  <si>
    <t>repeatability of Hastelloy N fuel-salt mass transfer</t>
  </si>
  <si>
    <t>condition-indexed</t>
  </si>
  <si>
    <t>Useful shorter repeat to compare with Loop 16/NCL-16.</t>
  </si>
  <si>
    <t>ORNL-FL-07</t>
  </si>
  <si>
    <t>Loop 18: Hastelloy N in LiF-BeF2-ThF4-UF4</t>
  </si>
  <si>
    <t>Loop 18</t>
  </si>
  <si>
    <t>thorium/uranium salt mass transfer</t>
  </si>
  <si>
    <t>LiF-BeF2-ThF4-UF4</t>
  </si>
  <si>
    <t>68-20-11.7-0.3 mol%</t>
  </si>
  <si>
    <t>15930</t>
  </si>
  <si>
    <t>Hastelloy N corrosion in Th/U-bearing salt</t>
  </si>
  <si>
    <t>Paired with 18A/19/19A variants.</t>
  </si>
  <si>
    <t>ORNL-FL-08</t>
  </si>
  <si>
    <t>Medium</t>
  </si>
  <si>
    <t>Loop 18A: Hastelloy N in LiF-BeF2-ThF4-UF4</t>
  </si>
  <si>
    <t>Loop 18A</t>
  </si>
  <si>
    <t>repeat/short exposure in Th/U-bearing salt</t>
  </si>
  <si>
    <t>2278</t>
  </si>
  <si>
    <t>conditions from Table 1</t>
  </si>
  <si>
    <t>short-exposure mass-transfer rate</t>
  </si>
  <si>
    <t>Completes loop family coverage.</t>
  </si>
  <si>
    <t>ORNL-FL-09</t>
  </si>
  <si>
    <t>Loop 19: Hastelloy N in LiF-BeF2-ThF4-UF4</t>
  </si>
  <si>
    <t>Loop 19</t>
  </si>
  <si>
    <t>mass transfer with possible chemistry variant; check report details</t>
  </si>
  <si>
    <t>4745</t>
  </si>
  <si>
    <t>salt chemistry variant to verify</t>
  </si>
  <si>
    <t>salt-chemistry variant effect on mass transfer</t>
  </si>
  <si>
    <t>Check detailed report text for Bi or additive context before final numerical use.</t>
  </si>
  <si>
    <t>ORNL-FL-10</t>
  </si>
  <si>
    <t>Loop 19A: Hastelloy N in LiF-BeF2-ThF4-UF4</t>
  </si>
  <si>
    <t>Loop 19A</t>
  </si>
  <si>
    <t>long exposure mass transfer in Th/U-bearing salt</t>
  </si>
  <si>
    <t>24515</t>
  </si>
  <si>
    <t>long-exposure mass-transfer rate</t>
  </si>
  <si>
    <t>Long exposure companion to loop 19.</t>
  </si>
  <si>
    <t>ORNL-FL-11</t>
  </si>
  <si>
    <t>Loop 21: Hastelloy N in MSRE fuel-salt composition</t>
  </si>
  <si>
    <t>Loop 21</t>
  </si>
  <si>
    <t>MSRE salt analog out-of-reactor benchmark</t>
  </si>
  <si>
    <t>65.4-29.1-5.0-0.5? mol%; OCR/source should be verified</t>
  </si>
  <si>
    <t>610</t>
  </si>
  <si>
    <t>500</t>
  </si>
  <si>
    <t>110</t>
  </si>
  <si>
    <t>13798</t>
  </si>
  <si>
    <t>MSRE fuel-salt analog</t>
  </si>
  <si>
    <t>conditions from Table 1; composition OCR requires verification</t>
  </si>
  <si>
    <t>MSRE salt analog corrosion without radiation</t>
  </si>
  <si>
    <t>condition-indexed; composition check required</t>
  </si>
  <si>
    <t>Important bridge from loops to MSRE surveillance.</t>
  </si>
  <si>
    <t>ORNL-FL-12</t>
  </si>
  <si>
    <t>Loop 22: type 316 stainless in LiF-BeF2-ThF4-UF4</t>
  </si>
  <si>
    <t>Loop 22</t>
  </si>
  <si>
    <t>stainless steel Cr/Fe transfer benchmark</t>
  </si>
  <si>
    <t>Type 316 stainless steel</t>
  </si>
  <si>
    <t>loop/specimens</t>
  </si>
  <si>
    <t>316 stainless steel</t>
  </si>
  <si>
    <t>540</t>
  </si>
  <si>
    <t>4491</t>
  </si>
  <si>
    <t>fluoride salt</t>
  </si>
  <si>
    <t>weight change, Cr/Fe transfer, metallography</t>
  </si>
  <si>
    <t>max uniform corrosion about 1 mil/yr for 4298 h; Cr/Fe transfer</t>
  </si>
  <si>
    <t>Cr/Fe mass transfer and stainless corrosion rate</t>
  </si>
  <si>
    <t>case-level and key output extracted</t>
  </si>
  <si>
    <t>Useful because many modern designs consider stainless steels.</t>
  </si>
  <si>
    <t>ORNL-FL-13</t>
  </si>
  <si>
    <t>ORNL-TM-4189</t>
  </si>
  <si>
    <t>Loop 1255: 9.2-year Hastelloy N and 2% Nb-modified Hastelloy N loop</t>
  </si>
  <si>
    <t>Loop 1255</t>
  </si>
  <si>
    <t>very long mass-transfer, deposition, external oxidation, weld behavior</t>
  </si>
  <si>
    <t>about 70-23-5-1-1 mol%</t>
  </si>
  <si>
    <t>Standard Hastelloy N and Hastelloy N modified with 2% Nb</t>
  </si>
  <si>
    <t>pipe loop with inserts and welds; schedule 10 pipe</t>
  </si>
  <si>
    <t>700</t>
  </si>
  <si>
    <t>560</t>
  </si>
  <si>
    <t>140</t>
  </si>
  <si>
    <t>about 80600</t>
  </si>
  <si>
    <t>about 5 ft/min</t>
  </si>
  <si>
    <t>salt internal; air external around heaters</t>
  </si>
  <si>
    <t>fuel-like salt; impurity contribution from ceramic bushing linked to leak</t>
  </si>
  <si>
    <t>standard ORNL salt handling; loop ran 1962-1971</t>
  </si>
  <si>
    <t>void depth, cold deposition, salt analysis, external oxide, weld comparison</t>
  </si>
  <si>
    <t>max void zone about 4 mil; cold deposition; salt Cr rose from about 100 to about 1800 ppm; max external oxide about 2 mil; no standard vs 2% Nb difference</t>
  </si>
  <si>
    <t>long-term Cr depletion/deposition and oxide-growth validation</t>
  </si>
  <si>
    <t>One of the best long-duration fluoride loop validation cases.</t>
  </si>
  <si>
    <t>https://openmsr.github.io/msr-archive/ocr/ORNL-TM-4189.txt</t>
  </si>
  <si>
    <t>ORNL-FL-14</t>
  </si>
  <si>
    <t>Loop 1255 external air oxidation under heaters</t>
  </si>
  <si>
    <t>external oxidation control</t>
  </si>
  <si>
    <t>Loop 1255 exterior</t>
  </si>
  <si>
    <t>air oxidation of Hastelloy N while salt loop operated</t>
  </si>
  <si>
    <t>external air; internal fluoride salt</t>
  </si>
  <si>
    <t>Hastelloy N and 2% Nb-modified Hastelloy N</t>
  </si>
  <si>
    <t>pipe exterior under heaters</t>
  </si>
  <si>
    <t>Hastelloy N pipe</t>
  </si>
  <si>
    <t>up to 700 external local</t>
  </si>
  <si>
    <t>9.2 years</t>
  </si>
  <si>
    <t>air external, salt internal</t>
  </si>
  <si>
    <t>air external</t>
  </si>
  <si>
    <t>air oxidation; not salt corrosion</t>
  </si>
  <si>
    <t>as-built loop</t>
  </si>
  <si>
    <t>external oxide thickness</t>
  </si>
  <si>
    <t>max mixed oxide about 2 mil under heaters; welds comparable</t>
  </si>
  <si>
    <t>separate external oxidation from salt-side Cr depletion</t>
  </si>
  <si>
    <t>Useful boundary condition if model also tracks non-salt environments.</t>
  </si>
  <si>
    <t>ORNL-FL-15</t>
  </si>
  <si>
    <t>ORNL-TM-5782</t>
  </si>
  <si>
    <t>NCL-31: 316 stainless in Li2BeF4 before Be reduction</t>
  </si>
  <si>
    <t>NCL-31 as-received salt</t>
  </si>
  <si>
    <t>316 stainless corrosion under oxidizing/as-received Li2BeF4</t>
  </si>
  <si>
    <t>Li2BeF4 / FLiBe-like</t>
  </si>
  <si>
    <t>LiF-BeF2 approx 2:1? report title uses Li2BeF4</t>
  </si>
  <si>
    <t>thermal-convection loop with removable specimens, eight hot/eight cold</t>
  </si>
  <si>
    <t>about 1 m/min</t>
  </si>
  <si>
    <t>not specified in extracted lines; loop environment controlled</t>
  </si>
  <si>
    <t>as-received salt had Fe/Cr impurities; relatively oxidizing</t>
  </si>
  <si>
    <t>salt initially had Fe and Cr impurities; voltammetry used</t>
  </si>
  <si>
    <t>weight change, voltammetry, salt chemistry</t>
  </si>
  <si>
    <t>initial hottest-specimen corrosion reported about 8.4 mil/yr equivalent (OCR/unit should be checked)</t>
  </si>
  <si>
    <t>redox-controlled initial attack on 316 stainless</t>
  </si>
  <si>
    <t>key outputs extracted; verify OCR value from original table</t>
  </si>
  <si>
    <t>Important redox impurity benchmark; check original scan for unit transcription.</t>
  </si>
  <si>
    <t>https://moltensalt.org/references/static/downloads/pdf/ORNL-TM-5782.pdf</t>
  </si>
  <si>
    <t>ORNL-FL-16</t>
  </si>
  <si>
    <t>NCL-31: 316 stainless in Li2BeF4 after Be addition</t>
  </si>
  <si>
    <t>thermal convection loop with redox control</t>
  </si>
  <si>
    <t>NCL-31 Be-reduced salt</t>
  </si>
  <si>
    <t>reduction/redox mitigation benchmark</t>
  </si>
  <si>
    <t>same NCL-31 removable specimens</t>
  </si>
  <si>
    <t>500 to 1000 after Be additions</t>
  </si>
  <si>
    <t>controlled loop environment</t>
  </si>
  <si>
    <t>Be metal addition shifted potential reducing</t>
  </si>
  <si>
    <t>Be added; voltammetry monitored oxidation potential</t>
  </si>
  <si>
    <t>after Be addition, 500/1000 h weight changes below detection; corrosion significantly reduced</t>
  </si>
  <si>
    <t>redox mitigation and threshold potential validation</t>
  </si>
  <si>
    <t>key outputs extracted</t>
  </si>
  <si>
    <t>Strong on/off validation pair with ORNL-FL-15.</t>
  </si>
  <si>
    <t>ORNL-FL-17</t>
  </si>
  <si>
    <t>ORNL-TM-2021</t>
  </si>
  <si>
    <t>Corrosion behavior of Ni-Mo alloys in fused fluoride mixtures</t>
  </si>
  <si>
    <t>alloy screening / corrosion tests</t>
  </si>
  <si>
    <t>Ni-Mo alloy fluoride tests</t>
  </si>
  <si>
    <t>alloy-composition sensitivity, especially Cr/Fe absence</t>
  </si>
  <si>
    <t>fluoride mixtures</t>
  </si>
  <si>
    <t>various fused fluoride mixtures</t>
  </si>
  <si>
    <t>Ni-Mo alloys</t>
  </si>
  <si>
    <t>test specimens</t>
  </si>
  <si>
    <t>various</t>
  </si>
  <si>
    <t>TBD</t>
  </si>
  <si>
    <t>static/loop details in source</t>
  </si>
  <si>
    <t>controlled test atmospheres</t>
  </si>
  <si>
    <t>salt chemistry variable</t>
  </si>
  <si>
    <t>ORNL salt handling</t>
  </si>
  <si>
    <t>weight change/metallography expected</t>
  </si>
  <si>
    <t>source indexed; numeric extraction pending</t>
  </si>
  <si>
    <t>composition-dependent corrosion resistance</t>
  </si>
  <si>
    <t>source indexed; full extraction needed</t>
  </si>
  <si>
    <t>Include because it informs Hastelloy N alloy-family parameterization.</t>
  </si>
  <si>
    <t>https://flibe.com/flibrary/ornl-technical-memoranda/</t>
  </si>
  <si>
    <t>ORNL-FL-18</t>
  </si>
  <si>
    <t>ORNL-TM-0328</t>
  </si>
  <si>
    <t>Corrosion behavior of reactor materials in fluoride salt mixtures</t>
  </si>
  <si>
    <t>early fluoride compatibility tests</t>
  </si>
  <si>
    <t>Early ORNL fluoride salt materials tests</t>
  </si>
  <si>
    <t>historical alloy screening and corrosion rates</t>
  </si>
  <si>
    <t>fluoride salt mixtures</t>
  </si>
  <si>
    <t>reactor candidate materials</t>
  </si>
  <si>
    <t>coupons/loops/capsules to extract</t>
  </si>
  <si>
    <t>early screening priors and outliers</t>
  </si>
  <si>
    <t>Broad early source; lower confidence until detailed tables are extracted.</t>
  </si>
  <si>
    <t>ORNL-FL-19</t>
  </si>
  <si>
    <t>ORNL-TM-2724</t>
  </si>
  <si>
    <t>Compatibility of molybdenum and TZM with LiF-BeF2-ThF4-UF4 at 1100 C</t>
  </si>
  <si>
    <t>high-temperature compatibility tests</t>
  </si>
  <si>
    <t>Mo/TZM high-temperature fluoride tests</t>
  </si>
  <si>
    <t>refractory-metal compatibility; high-temperature outlier</t>
  </si>
  <si>
    <t>source-specific</t>
  </si>
  <si>
    <t>Mo and TZM</t>
  </si>
  <si>
    <t>specimens to extract</t>
  </si>
  <si>
    <t>1100</t>
  </si>
  <si>
    <t>high-temperature fluoride salt</t>
  </si>
  <si>
    <t>weight change/metallography</t>
  </si>
  <si>
    <t>high-temperature material compatibility boundary</t>
  </si>
  <si>
    <t>Not core Hastelloy/Stainless case but useful for material contrast.</t>
  </si>
  <si>
    <t>TE-01</t>
  </si>
  <si>
    <t>Tellurium experimental pot 1: Li2Te additions</t>
  </si>
  <si>
    <t>static pot</t>
  </si>
  <si>
    <t>Tellurium pot 1</t>
  </si>
  <si>
    <t>tellurium source chemistry and plating/deposit formation</t>
  </si>
  <si>
    <t>72-16-12 mol%</t>
  </si>
  <si>
    <t>Hastelloy N exposure context; Li2Te pellets</t>
  </si>
  <si>
    <t>static pot about 600 ml with viewing ports and electrochemical probes</t>
  </si>
  <si>
    <t>pot material to extract</t>
  </si>
  <si>
    <t>sequence-dependent</t>
  </si>
  <si>
    <t>no circulation; electrochemical probes</t>
  </si>
  <si>
    <t>controlled static pot</t>
  </si>
  <si>
    <t>Li2Te pellets, later CrF2 and BeO additions</t>
  </si>
  <si>
    <t>salt in pot; preparation not fully extracted</t>
  </si>
  <si>
    <t>electrochemistry, salt Te analysis, visible deposits</t>
  </si>
  <si>
    <t>Te in salt &lt;5 ppm after Li2Te; bluish-grey deposit identified mainly as Te; no soluble Te electrochemically detected</t>
  </si>
  <si>
    <t>tellurium source/sink chemistry and precipitation</t>
  </si>
  <si>
    <t>case-level extracted; detailed sequence table needed</t>
  </si>
  <si>
    <t>Shows Li2Te not suitable for soluble Te addition and highlights Te plating/deposit behavior.</t>
  </si>
  <si>
    <t>TE-02</t>
  </si>
  <si>
    <t>Chromium telluride solubility experiment</t>
  </si>
  <si>
    <t>Cr telluride solubility pot</t>
  </si>
  <si>
    <t>Te activity and GB penetration without measurable weight change</t>
  </si>
  <si>
    <t>Hastelloy N sheet/tensile/AES specimens</t>
  </si>
  <si>
    <t>static pot specimens; salt samples at temperature sequence</t>
  </si>
  <si>
    <t>700, 650, 600</t>
  </si>
  <si>
    <t>170 h initial specimen; 250 h salt sample; later 500 h tensile exposures</t>
  </si>
  <si>
    <t>no bulk circulation</t>
  </si>
  <si>
    <t>Cr2Te3/Cr3Te4/Cr5Te6 additions; Cr and Te salt analysis</t>
  </si>
  <si>
    <t>salt prepared per report</t>
  </si>
  <si>
    <t>AES, weight change, crack counts, salt ppm</t>
  </si>
  <si>
    <t>no weight change detected in two sheet specimens; AES found Te in GBs; 500 h tensile specimens cracked</t>
  </si>
  <si>
    <t>Te GB penetration and crack-density validation</t>
  </si>
  <si>
    <t>case-level extracted; Tables 1-2 and Fig 4 digitization required</t>
  </si>
  <si>
    <t>Core controlled benchmark for Te-induced intergranular attack.</t>
  </si>
  <si>
    <t>TE-03</t>
  </si>
  <si>
    <t>Cr telluride exposed Hastelloy N variants</t>
  </si>
  <si>
    <t>static pot alloy screening</t>
  </si>
  <si>
    <t>Cr2Te3/Cr3Te4 variant exposures</t>
  </si>
  <si>
    <t>Nb/Ti/Cr alloying effects on Te embrittlement</t>
  </si>
  <si>
    <t>LiF-BeF2-ThF4 + Cr tellurides</t>
  </si>
  <si>
    <t>72-16-12 mol% plus Cr telluride additions</t>
  </si>
  <si>
    <t>Standard Hastelloy N; Nb/Ti/Cr modified alloys</t>
  </si>
  <si>
    <t>tensile specimens strained after exposure</t>
  </si>
  <si>
    <t>500 h and other short exposures</t>
  </si>
  <si>
    <t>Cr2Te3 initially; Cr3Te4 selected for lower Te activity</t>
  </si>
  <si>
    <t>crack density, average crack depth, AES penetration vs time</t>
  </si>
  <si>
    <t>Nb alloying reduces embrittlement; neither Cr nor Nb+Ti as strong in extracted narrative</t>
  </si>
  <si>
    <t>Te crack-depth/density versus alloy composition</t>
  </si>
  <si>
    <t>case-level extracted; table digitization required</t>
  </si>
  <si>
    <t>Use to calibrate alloy composition factor in Te cracking model.</t>
  </si>
  <si>
    <t>TE-04</t>
  </si>
  <si>
    <t>Ni3Te2 capsule test</t>
  </si>
  <si>
    <t>static capsule</t>
  </si>
  <si>
    <t>Ni3Te2 + Ni capsule</t>
  </si>
  <si>
    <t>low-activity Te embrittlement and Nb mitigation</t>
  </si>
  <si>
    <t>LiF-BeF2-ThF4 + Ni3Te2/Ni</t>
  </si>
  <si>
    <t>72-16-12 mol% salt; 62 at% Ni-38 at% Te mixture annealed to Ni3Te2 + Ni</t>
  </si>
  <si>
    <t>Standard Hastelloy N and Nb-modified Hastelloy N</t>
  </si>
  <si>
    <t>four initial tensile specimens plus later modified specimens</t>
  </si>
  <si>
    <t>capsule material to extract</t>
  </si>
  <si>
    <t>1000 to about 3000</t>
  </si>
  <si>
    <t>sealed capsule</t>
  </si>
  <si>
    <t>Ni3Te2 + Ni sets low Te activity</t>
  </si>
  <si>
    <t>salt filled capsule; about 310 ml salt</t>
  </si>
  <si>
    <t>crack density, average crack depth, tensile/metallography</t>
  </si>
  <si>
    <t>extensive IGC after 1000 h in salt; 1 to 2% Nb reduced cracking; all longer specimens attacked</t>
  </si>
  <si>
    <t>Te activity threshold and Nb mitigation</t>
  </si>
  <si>
    <t>case-level extracted; Table 3 digitization required</t>
  </si>
  <si>
    <t>Important because even low Te activity caused IGC in salt.</t>
  </si>
  <si>
    <t>TE-05</t>
  </si>
  <si>
    <t>Large tellurium screening pot</t>
  </si>
  <si>
    <t>stirred pot screening</t>
  </si>
  <si>
    <t>Large screening pot</t>
  </si>
  <si>
    <t>high-throughput alloy screening for Te attack</t>
  </si>
  <si>
    <t>LiF-BeF2-ThF4 + Cr3Te4/Cr5Te6</t>
  </si>
  <si>
    <t>72-16-12 mol% plus Cr tellurides</t>
  </si>
  <si>
    <t>more than 50 modified/standard Hastelloy N compositions</t>
  </si>
  <si>
    <t>up to 100 specimens at one time; stirred pot with electrochemical probes</t>
  </si>
  <si>
    <t>250 to 5000</t>
  </si>
  <si>
    <t>stirred static pot</t>
  </si>
  <si>
    <t>stirring mechanism; no loop circulation</t>
  </si>
  <si>
    <t>controlled pot</t>
  </si>
  <si>
    <t>Cr3Te4 + Cr5Te6 mixture</t>
  </si>
  <si>
    <t>salt filled pot about 11 liters</t>
  </si>
  <si>
    <t>crack count/depth for alloy variants</t>
  </si>
  <si>
    <t>1 to 2 at% Nb significantly reduced cracking</t>
  </si>
  <si>
    <t>screening response surface for alloy composition</t>
  </si>
  <si>
    <t>case-level extracted; detailed results are cited elsewhere and need retrieval</t>
  </si>
  <si>
    <t>Very broad alloy screening; must not be missed in validation evidence map.</t>
  </si>
  <si>
    <t>TE-06</t>
  </si>
  <si>
    <t>Cr-Te-U interaction / oxidation-potential experiment</t>
  </si>
  <si>
    <t>static pot redox experiment</t>
  </si>
  <si>
    <t>Cr-Te-U interaction experiment</t>
  </si>
  <si>
    <t>redox potential threshold for Te embrittlement</t>
  </si>
  <si>
    <t>MSBR fuel salt + Cr tellurides + U redox couples</t>
  </si>
  <si>
    <t>LiF-BeF2-ThF4 base plus U(IV)/U(III) controls; exact comp in table/figures</t>
  </si>
  <si>
    <t>Standard Hastelloy N heat 405065</t>
  </si>
  <si>
    <t>tensile specimens</t>
  </si>
  <si>
    <t>650 for thermodynamic threshold note</t>
  </si>
  <si>
    <t>about 260 and 500</t>
  </si>
  <si>
    <t>U(IV)/U(III) ratios about 10 to 300; CrTe additives</t>
  </si>
  <si>
    <t>crack density/depth versus U(IV)/U(III), metallography</t>
  </si>
  <si>
    <t>critical potential for telluride formation calculated near U(IV)/U(III) about 150 at 650 C; reducing range reduces cracking</t>
  </si>
  <si>
    <t>redox-potential dependence of Te cracking</t>
  </si>
  <si>
    <t>case-level extracted; Table 4/Fig 12 digitization required</t>
  </si>
  <si>
    <t>One of the best redox-control benchmarks for Te-induced plating/cracking.</t>
  </si>
  <si>
    <t>TE-07</t>
  </si>
  <si>
    <t>TeGen in-reactor capsule program</t>
  </si>
  <si>
    <t>in-reactor capsule</t>
  </si>
  <si>
    <t>TeGen capsules</t>
  </si>
  <si>
    <t>irradiation plus Te embrittlement screening</t>
  </si>
  <si>
    <t>fluoride salt with Te source; exact capsule compositions to extract</t>
  </si>
  <si>
    <t>various alloys</t>
  </si>
  <si>
    <t>capsules</t>
  </si>
  <si>
    <t>capsule materials to extract</t>
  </si>
  <si>
    <t>static capsule under irradiation</t>
  </si>
  <si>
    <t>in-reactor irradiation</t>
  </si>
  <si>
    <t>capsule environment</t>
  </si>
  <si>
    <t>Te source chemistry</t>
  </si>
  <si>
    <t>capsule salt preparation</t>
  </si>
  <si>
    <t>post-irradiation cracking/metallography</t>
  </si>
  <si>
    <t>source notes TeGen capsules evaluated embrittlement resistance but were time-consuming</t>
  </si>
  <si>
    <t>irradiation-coupled Te cracking</t>
  </si>
  <si>
    <t>source indexed; detailed reports/results need retrieval</t>
  </si>
  <si>
    <t>Potentially high-value but requires separate report chain extraction.</t>
  </si>
  <si>
    <t>TE-08</t>
  </si>
  <si>
    <t>MIT-TE-THESIS</t>
  </si>
  <si>
    <t>Tellurium-induced corrosion of structural alloys in simulated reactor conditions</t>
  </si>
  <si>
    <t>static corrosion tests</t>
  </si>
  <si>
    <t>Modern Te corrosion tests</t>
  </si>
  <si>
    <t>modern alloy comparison for Te-induced IGC</t>
  </si>
  <si>
    <t>simulated molten fluoride salt with tellurium source</t>
  </si>
  <si>
    <t>Hastelloy N, Nickel 201, Incoloy 800H, 316L stainless steel</t>
  </si>
  <si>
    <t>coupons/specimens</t>
  </si>
  <si>
    <t>50, 100, 150</t>
  </si>
  <si>
    <t>static tests</t>
  </si>
  <si>
    <t>simulated reactor conditions</t>
  </si>
  <si>
    <t>Te source; exact chemistry in thesis</t>
  </si>
  <si>
    <t>IGC depth/extent, metallography</t>
  </si>
  <si>
    <t>thesis abstract gives 50/100/150 h tests on four alloys</t>
  </si>
  <si>
    <t>modern Te-induced IGC validation data</t>
  </si>
  <si>
    <t>source indexed; full thesis extraction needed</t>
  </si>
  <si>
    <t>Useful modern confirmation but less MSRE-specific than ORNL-TM-6002.</t>
  </si>
  <si>
    <t>https://dspace.mit.edu/handle/1721.1/115454</t>
  </si>
  <si>
    <t>FB-01</t>
  </si>
  <si>
    <t>ORNL-TM-4221</t>
  </si>
  <si>
    <t>Hastelloy N compatibility with NaBF4-NaF in forced-circulation loop MSR-FCL-2</t>
  </si>
  <si>
    <t>forced circulation loop</t>
  </si>
  <si>
    <t>MSR-FCL-2</t>
  </si>
  <si>
    <t>forced-flow corrosion/mass-transfer in secondary coolant salt</t>
  </si>
  <si>
    <t>NaBF4-NaF</t>
  </si>
  <si>
    <t>92-8 mol%; eutectic liquidus about 385 +/- 10 C</t>
  </si>
  <si>
    <t>forced-circulation loop corrosion specimens</t>
  </si>
  <si>
    <t>forced circulation</t>
  </si>
  <si>
    <t>source-specific flow to extract</t>
  </si>
  <si>
    <t>cover gas/source-specific</t>
  </si>
  <si>
    <t>fluoroborate chemistry; BF3 potential</t>
  </si>
  <si>
    <t>source identified; detailed conditions and outputs need extraction</t>
  </si>
  <si>
    <t>forced-flow mass transfer in fluoroborate coolant</t>
  </si>
  <si>
    <t>source indexed; full numerical extraction needed</t>
  </si>
  <si>
    <t>Primary forced-flow fluoroborate dataset.</t>
  </si>
  <si>
    <t>https://moltensalt.org/references/static/downloads/pdf/ORNL-TM-4221.pdf</t>
  </si>
  <si>
    <t>FB-02</t>
  </si>
  <si>
    <t>ORNL-TM-3863</t>
  </si>
  <si>
    <t>Forced-circulation corrosion test facility for Hastelloy N in NaBF4</t>
  </si>
  <si>
    <t>MSR-FCL-1 / facility</t>
  </si>
  <si>
    <t>facility conditions and early corrosion specimen data</t>
  </si>
  <si>
    <t>NaBF4-based coolant salt</t>
  </si>
  <si>
    <t>NaBF4-NaF nominal; exact source-specific</t>
  </si>
  <si>
    <t>Hastelloy N specimens</t>
  </si>
  <si>
    <t>1/2 in OD tubing loop with corrosion specimens</t>
  </si>
  <si>
    <t>510 to 588 approx from 950/1030/1090 F specimen stations</t>
  </si>
  <si>
    <t>&gt;10000 at report time</t>
  </si>
  <si>
    <t>nominal salt velocity 10 ft/s in 1/2 in OD tubing</t>
  </si>
  <si>
    <t>fluoroborate chemistry</t>
  </si>
  <si>
    <t>weight change and corrosion specimens</t>
  </si>
  <si>
    <t>reported specimen stations 950, 1030, 1090 F; &gt;10,000 h continuing</t>
  </si>
  <si>
    <t>flow-accelerated fluoroborate corrosion/mass transfer</t>
  </si>
  <si>
    <t>condition extracted from search result; full report extraction needed</t>
  </si>
  <si>
    <t>Use for flow-velocity validation; requires detailed report data.</t>
  </si>
  <si>
    <t>FB-03</t>
  </si>
  <si>
    <t>ORNL-TM-4271</t>
  </si>
  <si>
    <t>Mass transfer between Hastelloy N and NaBF4-NaF in thermal-convection loop</t>
  </si>
  <si>
    <t>NaBF4 thermal-convection loop</t>
  </si>
  <si>
    <t>thermal-gradient fluoroborate mass transfer</t>
  </si>
  <si>
    <t>thermal-convection loop specimens</t>
  </si>
  <si>
    <t>687</t>
  </si>
  <si>
    <t>438</t>
  </si>
  <si>
    <t>249</t>
  </si>
  <si>
    <t>19930</t>
  </si>
  <si>
    <t>weight change, metallography</t>
  </si>
  <si>
    <t>max corrosion about 0.29 mil/yr over 19,930 h (search result)</t>
  </si>
  <si>
    <t>fluoroborate thermal-gradient mass transfer</t>
  </si>
  <si>
    <t>case-level output from indexed abstract; full table extraction needed</t>
  </si>
  <si>
    <t>Best concise fluoroborate thermal-loop benchmark found.</t>
  </si>
  <si>
    <t>https://moltensalt.org/references/static/downloads/pdf/ORNL-TM-4271.pdf</t>
  </si>
  <si>
    <t>FB-04</t>
  </si>
  <si>
    <t>ORNL-TM-3488</t>
  </si>
  <si>
    <t>Mass transfer of Hastelloy N and Haynes Alloy No. 25 in sodium fluoroborate mixture</t>
  </si>
  <si>
    <t>thermal/loop corrosion tests</t>
  </si>
  <si>
    <t>Hastelloy N/Haynes 25 fluoroborate tests</t>
  </si>
  <si>
    <t>alloy comparison in sodium fluoroborate</t>
  </si>
  <si>
    <t>sodium fluoroborate mixture</t>
  </si>
  <si>
    <t>Hastelloy N, Haynes Alloy No. 25</t>
  </si>
  <si>
    <t>loop/test details in source</t>
  </si>
  <si>
    <t>mass transfer, weight change</t>
  </si>
  <si>
    <t>source indexed; outputs to extract</t>
  </si>
  <si>
    <t>alloy selection and mass-transfer comparison</t>
  </si>
  <si>
    <t>source indexed</t>
  </si>
  <si>
    <t>Include as potential validation for Co/Ni/Cr-rich alloy behavior.</t>
  </si>
  <si>
    <t>FB-05</t>
  </si>
  <si>
    <t>ORNL-TM-2741</t>
  </si>
  <si>
    <t>Catastrophic corrosion of 304 stainless steel in fused sodium fluoroborate</t>
  </si>
  <si>
    <t>adverse corrosion test</t>
  </si>
  <si>
    <t>304 SS catastrophic fluoroborate case</t>
  </si>
  <si>
    <t>failure/outlier boundary condition</t>
  </si>
  <si>
    <t>sodium fluoroborate</t>
  </si>
  <si>
    <t>304 stainless steel</t>
  </si>
  <si>
    <t>aggressive fluoroborate condition to extract</t>
  </si>
  <si>
    <t>failure/catastrophic attack</t>
  </si>
  <si>
    <t>catastrophic corrosion reported by title/index</t>
  </si>
  <si>
    <t>model failure threshold and severe-attack validation</t>
  </si>
  <si>
    <t>Important adverse case, even if not nominal MSR condition.</t>
  </si>
  <si>
    <t>FB-06</t>
  </si>
  <si>
    <t>ORNL-TM-2490</t>
  </si>
  <si>
    <t>Hastelloy N and Croloy-9M in NaBF4-NaF-KBF4</t>
  </si>
  <si>
    <t>coolant salt compatibility tests</t>
  </si>
  <si>
    <t>NaBF4-NaF-KBF4 tests</t>
  </si>
  <si>
    <t>fluoroborate salt composition/alloy comparison</t>
  </si>
  <si>
    <t>NaBF4-NaF-KBF4</t>
  </si>
  <si>
    <t>Hastelloy N, Croloy-9M</t>
  </si>
  <si>
    <t>corrosion/mass transfer</t>
  </si>
  <si>
    <t>alloy/salt composition sensitivity</t>
  </si>
  <si>
    <t>Useful if secondary coolant model includes KBF4 variants.</t>
  </si>
  <si>
    <t>FB-07</t>
  </si>
  <si>
    <t>ORNL-TM-2978</t>
  </si>
  <si>
    <t>Fused sodium fluoroborate/BF3 gas with Hastelloy N</t>
  </si>
  <si>
    <t>gas-salt chemistry/corrosion</t>
  </si>
  <si>
    <t>NaBF4/BF3 gas tests</t>
  </si>
  <si>
    <t>BF3 chemical potential effect on corrosion</t>
  </si>
  <si>
    <t>NaBF4 with BF3 gas</t>
  </si>
  <si>
    <t>BF3 gas above salt</t>
  </si>
  <si>
    <t>BF3 potential control</t>
  </si>
  <si>
    <t>corrosion and chemistry</t>
  </si>
  <si>
    <t>gas/salt chemical potential boundary condition</t>
  </si>
  <si>
    <t>Relevant for fluoroborate redox/volatility models.</t>
  </si>
  <si>
    <t>FB-08</t>
  </si>
  <si>
    <t>ORNL-TM-4272</t>
  </si>
  <si>
    <t>Brazing alloys in NaBF4-NaF at 610 C</t>
  </si>
  <si>
    <t>static/capsule compatibility</t>
  </si>
  <si>
    <t>brazing alloy fluoroborate tests</t>
  </si>
  <si>
    <t>joint/braze-material compatibility</t>
  </si>
  <si>
    <t>brazing alloys</t>
  </si>
  <si>
    <t>test temperature 610 C from title/index</t>
  </si>
  <si>
    <t>braze/joint corrosion validation</t>
  </si>
  <si>
    <t>Relevant if model includes welds/brazes.</t>
  </si>
  <si>
    <t>MOD-F-01</t>
  </si>
  <si>
    <t>JNM-316H-FLINAK-2022</t>
  </si>
  <si>
    <t>Corrosion of 316H stainless steel in flowing FLiNaK salt</t>
  </si>
  <si>
    <t>ORNL monometallic 316H FLiNaK TCL</t>
  </si>
  <si>
    <t>modern flowing salt mass-transfer benchmark</t>
  </si>
  <si>
    <t>FLiNaK</t>
  </si>
  <si>
    <t>LiF-NaF-KF eutectic</t>
  </si>
  <si>
    <t>Type 316H stainless steel</t>
  </si>
  <si>
    <t>TCL coupons in hot/cold legs</t>
  </si>
  <si>
    <t>316H stainless steel</t>
  </si>
  <si>
    <t>1000</t>
  </si>
  <si>
    <t>natural convection; flow details in article</t>
  </si>
  <si>
    <t>salt impurities measured; post-salt Cr/Fe/Mn increases</t>
  </si>
  <si>
    <t>source-specific; modern salt prep</t>
  </si>
  <si>
    <t>mass loss/gain, SEM/EDS, salt ICP, TRANSFORM thermal model</t>
  </si>
  <si>
    <t>max mass loss 1.4 mg/cm2 hot; max gain 1.0 mg/cm2 cold; Fe-rich deposit layer; Cr loss to about 5 um hot leg</t>
  </si>
  <si>
    <t>modern stainless mass transfer with model geometry</t>
  </si>
  <si>
    <t>key outputs extracted; article tables/supplement to digitize</t>
  </si>
  <si>
    <t>Very model-ready because thermal model matched measured loop temperatures.</t>
  </si>
  <si>
    <t>https://www.ornl.gov/publication/corrosion-316h-stainless-steel-flowing-flinak-salt</t>
  </si>
  <si>
    <t>MOD-F-02</t>
  </si>
  <si>
    <t>ORNL-FLIBE-316H-2022</t>
  </si>
  <si>
    <t>Corrosion of 316H stainless steel in flowing FLiBe</t>
  </si>
  <si>
    <t>ORNL monometallic 316H FLiBe TCL</t>
  </si>
  <si>
    <t>modern FLiBe flowing compatibility benchmark</t>
  </si>
  <si>
    <t>FLiBe</t>
  </si>
  <si>
    <t>LiF-BeF2</t>
  </si>
  <si>
    <t>TCL coupons hot/cold legs</t>
  </si>
  <si>
    <t>650 peak</t>
  </si>
  <si>
    <t>natural convection; details in report/article</t>
  </si>
  <si>
    <t>no Be addition in flowing assessment; cleaning/oxidation issue noted</t>
  </si>
  <si>
    <t>mass change, SEM, salt analysis</t>
  </si>
  <si>
    <t>attack generally minimal; classic mass transfer not clearly observed; mass losses in both hot and cold legs; water-cleaning oxidation caveat</t>
  </si>
  <si>
    <t>FLiBe stainless compatibility and caveat-bound mass transfer</t>
  </si>
  <si>
    <t>case-level extracted; full report table extraction needed</t>
  </si>
  <si>
    <t>Modern FLiBe counterpart to FLiNaK TCL.</t>
  </si>
  <si>
    <t>https://www.osti.gov/biblio/1885317</t>
  </si>
  <si>
    <t>MOD-F-03</t>
  </si>
  <si>
    <t>HTCM-FLIBE-316H-2025</t>
  </si>
  <si>
    <t>Assessing stainless steel compatibility in flowing FLiBe salt</t>
  </si>
  <si>
    <t>static and flowing compatibility</t>
  </si>
  <si>
    <t>316H static FLiBe at 550/650 and flowing TCL</t>
  </si>
  <si>
    <t>static vs flowing FLiBe, Be redox effect</t>
  </si>
  <si>
    <t>static coupons and TCL specimens</t>
  </si>
  <si>
    <t>550 and 650 static; 650 peak flowing</t>
  </si>
  <si>
    <t>static durations in article; flowing 1000 h</t>
  </si>
  <si>
    <t>static capsules and TCL</t>
  </si>
  <si>
    <t>controlled salt environment</t>
  </si>
  <si>
    <t>Be addition in static tests reduced Fe/Ni dissolution</t>
  </si>
  <si>
    <t>mass change, posttest salt Fe/Cr/Ni/Mn, characterization</t>
  </si>
  <si>
    <t>static small mass changes at 550/650 C; Be reduced dissolution of Fe and Ni</t>
  </si>
  <si>
    <t>FLiBe redox mitigation and static/flowing comparison</t>
  </si>
  <si>
    <t>abstract-level extracted; detailed tables need digitization</t>
  </si>
  <si>
    <t>Current peer-reviewed synthesis of ORNL FLiBe experiments.</t>
  </si>
  <si>
    <t>https://link.springer.com/article/10.1007/s11085-024-10325-z</t>
  </si>
  <si>
    <t>MOD-F-04</t>
  </si>
  <si>
    <t>JNM-316LH-FLINAK-2023</t>
  </si>
  <si>
    <t>Corrosion of 316L and 316H stainless steel in molten FLiNaK</t>
  </si>
  <si>
    <t>static capsule tests</t>
  </si>
  <si>
    <t>UW FLiNaK capsules with container-material comparison</t>
  </si>
  <si>
    <t>capsule-material effect, 316L vs 316H, corrosion-mode classification</t>
  </si>
  <si>
    <t>LiF-NaF-KF eutectic; melting temp measured 456 C</t>
  </si>
  <si>
    <t>316L and 316H stainless steels</t>
  </si>
  <si>
    <t>wire-suspended coupons about 14 x 11 x 1.5 mm</t>
  </si>
  <si>
    <t>316L capsule, pyrolytic boron nitride, glassy carbon</t>
  </si>
  <si>
    <t>static capsules</t>
  </si>
  <si>
    <t>capsule atmosphere source-specific</t>
  </si>
  <si>
    <t>initial salt trace impurities by ICP-MS; capsule material varied</t>
  </si>
  <si>
    <t>&gt;99.9% constituents; ICP-MS trace impurities measured</t>
  </si>
  <si>
    <t>weight change, selective dissolution depth, surface recession, SEM/EDS</t>
  </si>
  <si>
    <t>three corrosion modes: uniform recession, selective GB Cr dissolution, bulk-grain Cr dissolution; capsule material notable effect</t>
  </si>
  <si>
    <t>container-material and carbon-grade sensitivity</t>
  </si>
  <si>
    <t>abstract/method extracted; tables need digitization</t>
  </si>
  <si>
    <t>Good validation for boundary-condition dependence on capsule/container materials.</t>
  </si>
  <si>
    <t>https://www.osti.gov/servlets/purl/2418335</t>
  </si>
  <si>
    <t>MOD-F-05</t>
  </si>
  <si>
    <t>HTCM-FLINAK-KINETICS-2023</t>
  </si>
  <si>
    <t>Kinetics of corrosion and oxidation of Fe- and Ni-based alloys by molten FLiNaK</t>
  </si>
  <si>
    <t>static kinetic tests</t>
  </si>
  <si>
    <t>Ni crucible FLiNaK kinetic exposures</t>
  </si>
  <si>
    <t>kinetic time dependence and oxidation/dissolution in fluoride salt</t>
  </si>
  <si>
    <t>LiF-NaF-KF</t>
  </si>
  <si>
    <t>Hastelloy N, Hastelloy X, SS316</t>
  </si>
  <si>
    <t>coupons in Ni crucibles</t>
  </si>
  <si>
    <t>Ni crucibles</t>
  </si>
  <si>
    <t>750</t>
  </si>
  <si>
    <t>various exposure times; program abstract mentions up to 336 h</t>
  </si>
  <si>
    <t>static crucible</t>
  </si>
  <si>
    <t>Ni crucible boundary condition</t>
  </si>
  <si>
    <t>mass change, oxide/corrosion morphology, diffusion analysis</t>
  </si>
  <si>
    <t>conditions: 750 C, various times, Ni crucibles</t>
  </si>
  <si>
    <t>kinetic parameterization for Fe/Ni/Cr alloy dissolution</t>
  </si>
  <si>
    <t>condition extracted; detailed curves need digitization</t>
  </si>
  <si>
    <t>Modern high-temperature fluoride kinetic dataset.</t>
  </si>
  <si>
    <t>https://link.springer.com/article/10.1007/s11085-023-10161-7</t>
  </si>
  <si>
    <t>MOD-F-06</t>
  </si>
  <si>
    <t>ENERGIES-FLINAK-2021</t>
  </si>
  <si>
    <t>Analysis of corrosion of Hastelloy N, X750, SS316 and SS304 in FLiNaK</t>
  </si>
  <si>
    <t>static comparative exposure</t>
  </si>
  <si>
    <t>FLiNaK 700 C multi-alloy comparison</t>
  </si>
  <si>
    <t>multi-alloy ranking and plating behavior</t>
  </si>
  <si>
    <t>46.5 LiF-11.5 NaF-42 KF mol%</t>
  </si>
  <si>
    <t>Hastelloy N, Alloy X750, SS316, SS304</t>
  </si>
  <si>
    <t>coupons exposed together</t>
  </si>
  <si>
    <t>static exposure</t>
  </si>
  <si>
    <t>Ar cover gas</t>
  </si>
  <si>
    <t>multi-alloy galvanic/plating interactions possible</t>
  </si>
  <si>
    <t>weight change, SEM/EDS, XPS, corrosion depth</t>
  </si>
  <si>
    <t>X750 max damage about 250 um; Hastelloy N about 20 um; Hastelloy N gained weight attributed to plating from other alloys</t>
  </si>
  <si>
    <t>multi-material plating/corrosion interaction</t>
  </si>
  <si>
    <t>key outputs extracted from abstract</t>
  </si>
  <si>
    <t>Use cautiously for single-alloy models because multiple alloys were co-exposed.</t>
  </si>
  <si>
    <t>https://www.mdpi.com/1996-1073/14/3/543</t>
  </si>
  <si>
    <t>MOD-F-07</t>
  </si>
  <si>
    <t>NPJ-HN-STRESS-FLINAK-2022</t>
  </si>
  <si>
    <t>Stress-assisted corrosion behavior of Hastelloy N in FLiNaK molten salt</t>
  </si>
  <si>
    <t>stressed static exposure</t>
  </si>
  <si>
    <t>Loaded/unloaded Hastelloy N in FLiNaK</t>
  </si>
  <si>
    <t>stress-assisted IGC and crack/void growth</t>
  </si>
  <si>
    <t>loaded and unloaded specimens</t>
  </si>
  <si>
    <t>240</t>
  </si>
  <si>
    <t>static molten salt exposure with mechanical stress</t>
  </si>
  <si>
    <t>salt impurities measured by ICP-OES before/after</t>
  </si>
  <si>
    <t>weight loss rate, SEM/EDS, IGC crack length, salt chemistry</t>
  </si>
  <si>
    <t>loaded weight loss rate 0.022 mg/cm2 h; unloaded/literature 0.0006-0.0093 mg/cm2 h; unloaded IGC cracks up to 100 um</t>
  </si>
  <si>
    <t>stress multiplier for corrosion/IGC</t>
  </si>
  <si>
    <t>Important if validation model includes stress-corrosion coupling.</t>
  </si>
  <si>
    <t>https://www.nature.com/articles/s41529-022-00300-x</t>
  </si>
  <si>
    <t>MOD-F-08</t>
  </si>
  <si>
    <t>MAT-FLINAK-VAPOR-2023</t>
  </si>
  <si>
    <t>Corrosion behavior in molten FLiNaK and vapor transition zone</t>
  </si>
  <si>
    <t>static salt-vapor exposure</t>
  </si>
  <si>
    <t>half-immersed FLiNaK vapor/salt tests</t>
  </si>
  <si>
    <t>salt-vapor interface corrosion and vapor transport</t>
  </si>
  <si>
    <t>eutectic LiF-NaF-KF</t>
  </si>
  <si>
    <t>Incoloy 800H, Hastelloy G35, 316L stainless steel</t>
  </si>
  <si>
    <t>lower half in molten salt, upper half in vapors</t>
  </si>
  <si>
    <t>600</t>
  </si>
  <si>
    <t>static with salt/vapor zones</t>
  </si>
  <si>
    <t>vapor over salt</t>
  </si>
  <si>
    <t>salt-vapor species; Cr role</t>
  </si>
  <si>
    <t>SEM/EDS, element distributions</t>
  </si>
  <si>
    <t>upper vapor-exposed region showed corrosion/chemical changes; Cr critical even without direct salt contact</t>
  </si>
  <si>
    <t>vapor/interface boundary condition</t>
  </si>
  <si>
    <t>abstract-level extracted</t>
  </si>
  <si>
    <t>Relevant if model includes gas/vapor phase species and cover-gas surfaces.</t>
  </si>
  <si>
    <t>https://www.ncbi.nlm.nih.gov/pmc/articles/PMC10095800/</t>
  </si>
  <si>
    <t>MOD-F-09</t>
  </si>
  <si>
    <t>MIT-FLIBE-IRR-2013</t>
  </si>
  <si>
    <t>Static in-reactor corrosion tests of Hastelloy N and 316 in Li-7 FLiBe</t>
  </si>
  <si>
    <t>in-reactor static capsule</t>
  </si>
  <si>
    <t>MIT reactor FLiBe tests</t>
  </si>
  <si>
    <t>radiation plus FLiBe compatibility</t>
  </si>
  <si>
    <t>Li-7 enriched FLiBe</t>
  </si>
  <si>
    <t>Hastelloy N and 316 stainless steel</t>
  </si>
  <si>
    <t>metal-lined and graphite crucibles</t>
  </si>
  <si>
    <t>static in-reactor capsules</t>
  </si>
  <si>
    <t>in MIT nuclear research reactor, 2013</t>
  </si>
  <si>
    <t>in-reactor capsule environment</t>
  </si>
  <si>
    <t>microstructural characterization</t>
  </si>
  <si>
    <t>static in-reactor corrosion tests conducted; details in conference/paper</t>
  </si>
  <si>
    <t>radiation-enhanced/modified corrosion comparison</t>
  </si>
  <si>
    <t>Rare modern in-reactor FLiBe evidence.</t>
  </si>
  <si>
    <t>https://www.osti.gov/biblio/22992100</t>
  </si>
  <si>
    <t>MOD-C-01</t>
  </si>
  <si>
    <t>ORNL-NACL-MGCL2-2019</t>
  </si>
  <si>
    <t>316H stainless in NaCl-MgCl2 with and without Mg redox additive</t>
  </si>
  <si>
    <t>ORNL 316H NaCl-MgCl2 redox-control capsules</t>
  </si>
  <si>
    <t>chloride redox impurity and Mg mitigation</t>
  </si>
  <si>
    <t>NaCl-MgCl2</t>
  </si>
  <si>
    <t>source-specific eutectic</t>
  </si>
  <si>
    <t>sealed capsule samples</t>
  </si>
  <si>
    <t>600 and 700</t>
  </si>
  <si>
    <t>static sealed capsules</t>
  </si>
  <si>
    <t>purified salt; water added to half; Mg added to half</t>
  </si>
  <si>
    <t>purified prior to use; water and Mg variables</t>
  </si>
  <si>
    <t>mass loss, corrosion depth, characterization</t>
  </si>
  <si>
    <t>exposed 500 h at 600/700 C; Mg addition assessed against water-aggressive salt</t>
  </si>
  <si>
    <t>chloride redox mitigation and impurity sensitivity</t>
  </si>
  <si>
    <t>abstract-level extracted; report tables need digitization</t>
  </si>
  <si>
    <t>Strong modern chloride redox validation pair.</t>
  </si>
  <si>
    <t>https://www.ornl.gov/publication/corrosion-316h-stainless-steel-molten-nacl-mgcl2-and-without-mg-redox-control-additive</t>
  </si>
  <si>
    <t>MOD-C-02</t>
  </si>
  <si>
    <t>NUC-SCI-TECH-316H-2024</t>
  </si>
  <si>
    <t>316H stainless in impure and purified NaCl-KCl-MgCl2 salt</t>
  </si>
  <si>
    <t>316H purified vs impure chloride salt</t>
  </si>
  <si>
    <t>moisture impurity and IGC depth validation</t>
  </si>
  <si>
    <t>NaCl-KCl-MgCl2</t>
  </si>
  <si>
    <t>coupons</t>
  </si>
  <si>
    <t>impure salt moisture as MgCl2.6H2O; purified comparison</t>
  </si>
  <si>
    <t>impure and purified salt variants</t>
  </si>
  <si>
    <t>IGC depth, corrosion morphology</t>
  </si>
  <si>
    <t>impure salt caused severe IGC depth about 130 um after 1000 h</t>
  </si>
  <si>
    <t>moisture impurity corrosion multiplier</t>
  </si>
  <si>
    <t>key output extracted; detailed tables need digitization</t>
  </si>
  <si>
    <t>Directly useful for chloride impurity/redox modeling.</t>
  </si>
  <si>
    <t>https://link.springer.com/article/10.1007/s41365-023-01352-7</t>
  </si>
  <si>
    <t>MOD-C-03</t>
  </si>
  <si>
    <t>IJER-NACL-MGCL2-FLOW-2024</t>
  </si>
  <si>
    <t>Candidate structural materials in flowing NaCl-MgCl2</t>
  </si>
  <si>
    <t>natural convection loop</t>
  </si>
  <si>
    <t>high-temperature chloride natural convection loop</t>
  </si>
  <si>
    <t>flowing chloride corrosion and deposition</t>
  </si>
  <si>
    <t>SS304, SS316L, high-Ni alloys</t>
  </si>
  <si>
    <t>coupons in loop hot/cold legs</t>
  </si>
  <si>
    <t>loop material source-specific</t>
  </si>
  <si>
    <t>500 to 580 in article text snippet</t>
  </si>
  <si>
    <t>natural convection</t>
  </si>
  <si>
    <t>controlled loop</t>
  </si>
  <si>
    <t>chloride salt impurities source-specific</t>
  </si>
  <si>
    <t>NaCl-MgCl2 prepared and injected</t>
  </si>
  <si>
    <t>ICP-OES salt, SEM/EDS, corrosion rate</t>
  </si>
  <si>
    <t>corrosion products migrated and deposited on high-Ni alloy surface in cold leg; 500 h test</t>
  </si>
  <si>
    <t>flowing chloride dissolution/deposition</t>
  </si>
  <si>
    <t>abstract-level extracted; tables need digitization</t>
  </si>
  <si>
    <t>Good modern chloride loop benchmark.</t>
  </si>
  <si>
    <t>https://onlinelibrary.wiley.com/doi/pdf/10.1155/2024/2883918</t>
  </si>
  <si>
    <t>MOD-C-04</t>
  </si>
  <si>
    <t>NATCOMM-TRACER-2024</t>
  </si>
  <si>
    <t>Radionuclide tracing in situ corrosion and mass transport of 316L in NaCl-MgCl2 loop</t>
  </si>
  <si>
    <t>natural circulation loop with tracer</t>
  </si>
  <si>
    <t>UW radionuclide tracer NaCl-MgCl2 loop</t>
  </si>
  <si>
    <t>in-situ attack depth and mass-transport/deposition validation</t>
  </si>
  <si>
    <t>NaCl-MgCl2 eutectic</t>
  </si>
  <si>
    <t>316L stainless steel</t>
  </si>
  <si>
    <t>proton-activated tube section welded into hot leg; loop sections monitored</t>
  </si>
  <si>
    <t>316L loop/tube</t>
  </si>
  <si>
    <t>natural circulation closed loop</t>
  </si>
  <si>
    <t>natural circulation</t>
  </si>
  <si>
    <t>out-of-reactor, activated tracer section</t>
  </si>
  <si>
    <t>radionuclides 51Cr, 52Mn, 56Co generated at alloy/salt interface</t>
  </si>
  <si>
    <t>salt preparation source-specific</t>
  </si>
  <si>
    <t>activity vs loop position/time, attack depth, transport/precipitation</t>
  </si>
  <si>
    <t>16 MeV proton activation created tracers; activity variations tracked corrosion product transport and precipitation</t>
  </si>
  <si>
    <t>time-resolved mass transport and plating/deposition</t>
  </si>
  <si>
    <t>abstract-level extracted; full data extraction needed</t>
  </si>
  <si>
    <t>One of the most model-ready modern mass-transport datasets because it is in situ.</t>
  </si>
  <si>
    <t>https://www.osti.gov/biblio/2472374</t>
  </si>
  <si>
    <t>MOD-C-05</t>
  </si>
  <si>
    <t>NPJ-316L-WELD-2025</t>
  </si>
  <si>
    <t>Dendrite corrosion of 316L stainless steel weld joint in NaCl-MgCl2 loop</t>
  </si>
  <si>
    <t>circulation loop material comparison</t>
  </si>
  <si>
    <t>316L weld joint versus base metal in chloride loop</t>
  </si>
  <si>
    <t>microstructure/weld-dependent dealloying and void growth</t>
  </si>
  <si>
    <t>316L stainless steel base metal and weld joint</t>
  </si>
  <si>
    <t>tube cross sections at weld and base metal</t>
  </si>
  <si>
    <t>molten salt circulation loop</t>
  </si>
  <si>
    <t>flowing loop</t>
  </si>
  <si>
    <t>SEM/EDS void morphology, element depletion, penetration depth</t>
  </si>
  <si>
    <t>loop corrosion formed subsurface voids; weld voids evolved as dendritic open structures; Fe/Cr/Mn depleted</t>
  </si>
  <si>
    <t>weld/base-metal corrosion morphology and penetration</t>
  </si>
  <si>
    <t>abstract-level extracted; full data tables need extraction</t>
  </si>
  <si>
    <t>Relevant if model must validate weld-zone behavior.</t>
  </si>
  <si>
    <t>https://www.nature.com/articles/s41529-025-00554-1</t>
  </si>
  <si>
    <t>MOD-C-06</t>
  </si>
  <si>
    <t>JOM-NI19CR5FE-2025</t>
  </si>
  <si>
    <t>Ni-19Cr-5Fe model alloy in purified NaCl-MgCl2</t>
  </si>
  <si>
    <t>Ni-19Cr-5Fe chloride kinetic exposures</t>
  </si>
  <si>
    <t>model alloy corrosion kinetics and elemental depletion</t>
  </si>
  <si>
    <t>purified chloride salt</t>
  </si>
  <si>
    <t>Ni-19Cr-5Fe model alloy</t>
  </si>
  <si>
    <t>30, 240, 500</t>
  </si>
  <si>
    <t>controlled source-specific</t>
  </si>
  <si>
    <t>purified salt</t>
  </si>
  <si>
    <t>microstructure, corrosion depth, elemental depletion profiles</t>
  </si>
  <si>
    <t>conditions extracted: 700 C for 30/240/500 h</t>
  </si>
  <si>
    <t>kinetic data for simplified Ni-Cr-Fe alloy model</t>
  </si>
  <si>
    <t>Useful for mechanistic parameter calibration separate from commercial alloys.</t>
  </si>
  <si>
    <t>https://link.springer.com/article/10.1007/s11837-025-08019-1</t>
  </si>
  <si>
    <t>MOD-C-07</t>
  </si>
  <si>
    <t>HTCM-ALUMINA-NI-2024</t>
  </si>
  <si>
    <t>Nickel-based alumina-forming alloy in NaCl-MgCl2 eutectic</t>
  </si>
  <si>
    <t>static/electrochemical corrosion</t>
  </si>
  <si>
    <t>preoxidized Ni alumina-forming alloy</t>
  </si>
  <si>
    <t>protective scale and Cr-carbide dissolution</t>
  </si>
  <si>
    <t>industrial Ni-based alumina-forming alloy</t>
  </si>
  <si>
    <t>preoxidized specimens</t>
  </si>
  <si>
    <t>static corrosion with electrochemistry</t>
  </si>
  <si>
    <t>moisture impurity concern</t>
  </si>
  <si>
    <t>electrochemistry, SEM, X-ray tomography</t>
  </si>
  <si>
    <t>Ni-rich matrix and alumina scale stable; chromium carbides preferentially dissolved</t>
  </si>
  <si>
    <t>protective-scale failure and microstructural sinks</t>
  </si>
  <si>
    <t>Optional for extended material models.</t>
  </si>
  <si>
    <t>https://link.springer.com/article/10.1007/s11085-024-10264-9</t>
  </si>
  <si>
    <t>MOD-C-08</t>
  </si>
  <si>
    <t>RSC-CHLORIDE-KINETICS-2025</t>
  </si>
  <si>
    <t>Corrosion kinetics of pure Fe/Cr/Ni and alloys in MgCl2-KCl-NaCl</t>
  </si>
  <si>
    <t>electrochemical kinetics</t>
  </si>
  <si>
    <t>electrochemical kinetic tests</t>
  </si>
  <si>
    <t>rate constants/mechanism in purified chloride salt</t>
  </si>
  <si>
    <t>MgCl2-KCl-NaCl</t>
  </si>
  <si>
    <t>thermally and chemically purified salt</t>
  </si>
  <si>
    <t>pure Ni, Fe, Cr; SS316, A709, IN625 in title/search context</t>
  </si>
  <si>
    <t>electrochemical electrodes/specimens</t>
  </si>
  <si>
    <t>600, 650, 700</t>
  </si>
  <si>
    <t>electrochemical time-scale</t>
  </si>
  <si>
    <t>electrochemical cell</t>
  </si>
  <si>
    <t>controlled electrochemical environment</t>
  </si>
  <si>
    <t>corrosion governed by diffusion of corrosive impurities</t>
  </si>
  <si>
    <t>thermally and chemically purified</t>
  </si>
  <si>
    <t>electrochemical kinetics, mechanism</t>
  </si>
  <si>
    <t>corrosion governed by diffusion of corrosive impurities at 600/650/700 C</t>
  </si>
  <si>
    <t>kinetic boundary condition for chloride corrosion model</t>
  </si>
  <si>
    <t>abstract-level extracted; data curves to digitize</t>
  </si>
  <si>
    <t>Direct kinetic data rather than post-test-only mass loss.</t>
  </si>
  <si>
    <t>https://pubs.rsc.org/en/content/articlehtml/2025/ra/d5ra00451a</t>
  </si>
  <si>
    <t>MOD-C-09</t>
  </si>
  <si>
    <t>OSTI-HEA-CHLORIDE-2026</t>
  </si>
  <si>
    <t>High-entropy/refractory alloy chloride-salt exposure</t>
  </si>
  <si>
    <t>HEA/refractory alloy screening</t>
  </si>
  <si>
    <t>novel alloy compatibility in chloride salt</t>
  </si>
  <si>
    <t>molten chloride salt</t>
  </si>
  <si>
    <t>MoNbTiV, MoNbTi, Nb2TiVZr2 and related alloys</t>
  </si>
  <si>
    <t>mass loss, microstructural degradation</t>
  </si>
  <si>
    <t>MoNbTiV/MoNbTi minimal degradation after 1000 h at 700 C; Nb2TiVZr2 poor (from OSTI abstract)</t>
  </si>
  <si>
    <t>novel alloy screening validation/outlier set</t>
  </si>
  <si>
    <t>Not MSR baseline material, but useful for extending model space.</t>
  </si>
  <si>
    <t>https://www.osti.gov/biblio/2530000</t>
  </si>
  <si>
    <t>MOD-C-10</t>
  </si>
  <si>
    <t>MAT-FE-AFA-2024</t>
  </si>
  <si>
    <t>Iron-based alumina-forming alloys in NaCl-MgCl2 eutectic</t>
  </si>
  <si>
    <t>Fe-based AFA preoxidized tests</t>
  </si>
  <si>
    <t>preoxidation/scale transformation in chloride salt</t>
  </si>
  <si>
    <t>two Fe-based alumina-forming alloys</t>
  </si>
  <si>
    <t>preoxidized coupons</t>
  </si>
  <si>
    <t>salt purification by electrolysis</t>
  </si>
  <si>
    <t>electrolysis purification protocol</t>
  </si>
  <si>
    <t>SEM/FIB-SEM, scale transformation</t>
  </si>
  <si>
    <t>alpha-alumina transformed to MgAl2O4 during immersion</t>
  </si>
  <si>
    <t>scale transformation and chloride salt impurity control</t>
  </si>
  <si>
    <t>Useful for protective-scale submodels.</t>
  </si>
  <si>
    <t>https://www.mdpi.com/1996-1944/17/13/3224</t>
  </si>
  <si>
    <t>DB-01</t>
  </si>
  <si>
    <t>RAIMAN-LEE-2018</t>
  </si>
  <si>
    <t>Aggregation and data analysis of corrosion studies in molten chloride and fluoride salts</t>
  </si>
  <si>
    <t>compiled literature dataset</t>
  </si>
  <si>
    <t>Raiman and Lee aggregated dataset</t>
  </si>
  <si>
    <t>global validation inventory and covariate screening</t>
  </si>
  <si>
    <t>fluoride and chloride salts</t>
  </si>
  <si>
    <t>many</t>
  </si>
  <si>
    <t>many alloys/materials</t>
  </si>
  <si>
    <t>loop, capsule, crucible studies</t>
  </si>
  <si>
    <t>various methods</t>
  </si>
  <si>
    <t>out-of-reactor literature</t>
  </si>
  <si>
    <t>salt purity emphasized</t>
  </si>
  <si>
    <t>aggregated corrosion rates and metadata</t>
  </si>
  <si>
    <t>surveyed key data into single dataset; graphed by purity, temperature, material, container, method; purity strongest correlation</t>
  </si>
  <si>
    <t>coverage check, priors, and missing-experiment audit</t>
  </si>
  <si>
    <t>A for source discovery; variable for row data</t>
  </si>
  <si>
    <t>source indexed; obtain supplemental table if available</t>
  </si>
  <si>
    <t>Use as completeness cross-check against this workbook.</t>
  </si>
  <si>
    <t>https://www.ornl.gov/publication/aggregation-and-data-analysis-corrosion-studies-molten-chloride-and-fluoride-salts</t>
  </si>
  <si>
    <t>DB-02</t>
  </si>
  <si>
    <t>GUO-REVIEW-2023</t>
  </si>
  <si>
    <t>Corrosion in molten salts for nuclear applications: mechanisms and data review</t>
  </si>
  <si>
    <t>review</t>
  </si>
  <si>
    <t>Guo et al. review</t>
  </si>
  <si>
    <t>mechanism review and literature completeness check</t>
  </si>
  <si>
    <t>many alloys</t>
  </si>
  <si>
    <t>various redox/impurity conditions</t>
  </si>
  <si>
    <t>summarized literature data and mechanisms</t>
  </si>
  <si>
    <t>source useful for checking post-1950s corrosion data coverage</t>
  </si>
  <si>
    <t>secondary completeness and mechanism map</t>
  </si>
  <si>
    <t>source indexed; row-level primary studies should be traced</t>
  </si>
  <si>
    <t>Use review references to expand source index if program scope broadens.</t>
  </si>
  <si>
    <t>https://www.sciencedirect.com/science/article/pii/S0022311523002410</t>
  </si>
  <si>
    <t>DB-03</t>
  </si>
  <si>
    <t>JRCMSD</t>
  </si>
  <si>
    <t>Joint Research Centre Molten Salt Database</t>
  </si>
  <si>
    <t>thermodynamic database</t>
  </si>
  <si>
    <t>thermodynamic validation for salt/fission/corrosion product chemistry</t>
  </si>
  <si>
    <t>fuel and coolant salts</t>
  </si>
  <si>
    <t>binary/ternary/higher systems</t>
  </si>
  <si>
    <t>corrosion and fission product components included</t>
  </si>
  <si>
    <t>database entries</t>
  </si>
  <si>
    <t>thermodynamic assessments; continuously validated/expanded</t>
  </si>
  <si>
    <t>assessed data</t>
  </si>
  <si>
    <t>thermodynamic properties, phase diagrams, corrosion product chemistry</t>
  </si>
  <si>
    <t>JRC describes assessed fuel/coolant/fission/corrosion product components and continuous validation</t>
  </si>
  <si>
    <t>thermodynamic backend validation, not direct corrosion rate</t>
  </si>
  <si>
    <t>A for thermodynamics</t>
  </si>
  <si>
    <t>source indexed; data access requested separately</t>
  </si>
  <si>
    <t>Use alongside corrosion experiments for equilibrium/speciation checks.</t>
  </si>
  <si>
    <t>https://joint-research-centre.ec.europa.eu/joint-research-centre-molten-salt-database-jrcmsd_en</t>
  </si>
  <si>
    <t>DB-04</t>
  </si>
  <si>
    <t>MSTDB-TC</t>
  </si>
  <si>
    <t>Molten Salt Thermal Properties/Thermochemical Database</t>
  </si>
  <si>
    <t>thermochemical database</t>
  </si>
  <si>
    <t>thermochemical validation for salts, corrosion products, fission products</t>
  </si>
  <si>
    <t>molten salts for MSRs</t>
  </si>
  <si>
    <t>database-specific</t>
  </si>
  <si>
    <t>salt and corrosion product species</t>
  </si>
  <si>
    <t>CALPHAD/thermochemical database</t>
  </si>
  <si>
    <t>database</t>
  </si>
  <si>
    <t>thermodynamic properties</t>
  </si>
  <si>
    <t>thermodynamic backend validation</t>
  </si>
  <si>
    <t>source indexed; obtain current database version</t>
  </si>
  <si>
    <t>Use for activity coefficients, redox equilibria, solubility inputs.</t>
  </si>
  <si>
    <t>https://mstdb.ornl.gov/</t>
  </si>
  <si>
    <t>DB-05</t>
  </si>
  <si>
    <t>HAYNES-HN</t>
  </si>
  <si>
    <t>Haynes Hastelloy N alloy technical data</t>
  </si>
  <si>
    <t>manufacturer historical data</t>
  </si>
  <si>
    <t>Haynes Hastelloy N molten fluoride statement</t>
  </si>
  <si>
    <t>long-duration generic penetration-rate check</t>
  </si>
  <si>
    <t>molten fluoride salts</t>
  </si>
  <si>
    <t>various halide fluorides listed</t>
  </si>
  <si>
    <t>test samples</t>
  </si>
  <si>
    <t>up to 704</t>
  </si>
  <si>
    <t>over two years</t>
  </si>
  <si>
    <t>penetration rate statement</t>
  </si>
  <si>
    <t>less than 1 mil/yr in molten fluoride salts up to 704 C in tests over two years</t>
  </si>
  <si>
    <t>sanity check for Hastelloy N corrosion rates</t>
  </si>
  <si>
    <t>source indexed; primary reports preferred</t>
  </si>
  <si>
    <t>Use only as secondary support; primary ORNL reports are stronger.</t>
  </si>
  <si>
    <t>https://haynesintl.com/en/alloys/alloy-portfolio/corrosion-resistant-alloys/hastelloy-n/</t>
  </si>
  <si>
    <t>DB-06</t>
  </si>
  <si>
    <t>FEI-ORNL-TM-INDEX</t>
  </si>
  <si>
    <t>FEI Flibrary ORNL technical memoranda index</t>
  </si>
  <si>
    <t>bibliography/source index</t>
  </si>
  <si>
    <t>ORNL technical memoranda list</t>
  </si>
  <si>
    <t>completeness audit of ORNL MSR material reports</t>
  </si>
  <si>
    <t>all ORNL MSR salts/materials</t>
  </si>
  <si>
    <t>bibliographic inventory</t>
  </si>
  <si>
    <t>lists ORNL-TM-0328, 1997, 2359, 2647, 3063, 3488, 3863, 3866, 4188, 4189, 4221, 4271, 5782 and many more</t>
  </si>
  <si>
    <t>ensure no ORNL technical-memo family is missed</t>
  </si>
  <si>
    <t>A for source discovery</t>
  </si>
  <si>
    <t>Use as master checklist; not itself row-level data.</t>
  </si>
  <si>
    <t>measurement_id</t>
  </si>
  <si>
    <t>observable</t>
  </si>
  <si>
    <t>material_or_species</t>
  </si>
  <si>
    <t>location_or_condition</t>
  </si>
  <si>
    <t>temperature_C</t>
  </si>
  <si>
    <t>time_h</t>
  </si>
  <si>
    <t>value</t>
  </si>
  <si>
    <t>units</t>
  </si>
  <si>
    <t>uncertainty_or_note</t>
  </si>
  <si>
    <t>model_mapping</t>
  </si>
  <si>
    <t>M-001</t>
  </si>
  <si>
    <t>No visible corrosion</t>
  </si>
  <si>
    <t>Core group 1</t>
  </si>
  <si>
    <t>no corrosion observed</t>
  </si>
  <si>
    <t>qualitative</t>
  </si>
  <si>
    <t>carbon-rich layer at graphite contact also observed</t>
  </si>
  <si>
    <t>salt-side corrosion pass/fail baseline</t>
  </si>
  <si>
    <t>M-002</t>
  </si>
  <si>
    <t>Carbon-rich layer depth</t>
  </si>
  <si>
    <t>Hastelloy N at graphite contact</t>
  </si>
  <si>
    <t>1 to 2</t>
  </si>
  <si>
    <t>mil</t>
  </si>
  <si>
    <t>where Hastelloy N contacted graphite</t>
  </si>
  <si>
    <t>interfacial carbon transport / surface layer</t>
  </si>
  <si>
    <t>M-003</t>
  </si>
  <si>
    <t>Selective chromium-removal equivalent depth</t>
  </si>
  <si>
    <t>Cr in Hastelloy N</t>
  </si>
  <si>
    <t>Core group 4</t>
  </si>
  <si>
    <t>0.3</t>
  </si>
  <si>
    <t>apparent uniform removal depth accounting for salt Cr increase</t>
  </si>
  <si>
    <t>Cr depletion integral validation</t>
  </si>
  <si>
    <t>M-004</t>
  </si>
  <si>
    <t>Salt chromium concentration change</t>
  </si>
  <si>
    <t>Cr in fuel salt</t>
  </si>
  <si>
    <t>MSRE after reprocessing/Be adjustment</t>
  </si>
  <si>
    <t>40 to 100</t>
  </si>
  <si>
    <t>ppm</t>
  </si>
  <si>
    <t>reported as approximate increase</t>
  </si>
  <si>
    <t>salt inventory/source term validation</t>
  </si>
  <si>
    <t>M-005</t>
  </si>
  <si>
    <t>Chromium diffusion coefficient</t>
  </si>
  <si>
    <t>Derived from surveillance results</t>
  </si>
  <si>
    <t>4E-14</t>
  </si>
  <si>
    <t>cm2/s</t>
  </si>
  <si>
    <t>agreed with earlier 2E-14 cm2/s value</t>
  </si>
  <si>
    <t>solid-state diffusion parameter</t>
  </si>
  <si>
    <t>M-006</t>
  </si>
  <si>
    <t>Effective full-power hours with 235U fuel</t>
  </si>
  <si>
    <t>fission products</t>
  </si>
  <si>
    <t>MSRE operating phase</t>
  </si>
  <si>
    <t>&gt;9000</t>
  </si>
  <si>
    <t>h</t>
  </si>
  <si>
    <t>26 months with 235U fuel</t>
  </si>
  <si>
    <t>source term duration</t>
  </si>
  <si>
    <t>M-007</t>
  </si>
  <si>
    <t>Effective full-power hours with 233U fuel</t>
  </si>
  <si>
    <t>&gt;5100</t>
  </si>
  <si>
    <t>about 15 months with 233U fuel</t>
  </si>
  <si>
    <t>M-008</t>
  </si>
  <si>
    <t>Metal transfer rate inferred from heat exchanger to radiator</t>
  </si>
  <si>
    <t>metal activation products</t>
  </si>
  <si>
    <t>secondary/coolant side interpretation</t>
  </si>
  <si>
    <t>0.0005</t>
  </si>
  <si>
    <t>mil/year</t>
  </si>
  <si>
    <t>if metal evenly removed and deposited throughout MSRE history</t>
  </si>
  <si>
    <t>very low system metal-transfer sanity check</t>
  </si>
  <si>
    <t>M-009</t>
  </si>
  <si>
    <t>Relative deposition trend</t>
  </si>
  <si>
    <t>noble metals including Te/Sb</t>
  </si>
  <si>
    <t>final surveillance array</t>
  </si>
  <si>
    <t>last 4 months</t>
  </si>
  <si>
    <t>metal &gt; graphite; turbulent metal &gt; laminar metal</t>
  </si>
  <si>
    <t>Table 12.2 contains row-wise intensities to digitize</t>
  </si>
  <si>
    <t>surface/flow deposition coefficient ranking</t>
  </si>
  <si>
    <t>M-010</t>
  </si>
  <si>
    <t>Off-gas noble-metal production fraction</t>
  </si>
  <si>
    <t>noble metals</t>
  </si>
  <si>
    <t>off-gas transport</t>
  </si>
  <si>
    <t>much below 1</t>
  </si>
  <si>
    <t>percent</t>
  </si>
  <si>
    <t>based on thermophoretic interpretation; earlier 235U gas samples considered contaminated/anomalous</t>
  </si>
  <si>
    <t>aerosol loss boundary condition</t>
  </si>
  <si>
    <t>M-011</t>
  </si>
  <si>
    <t>Maximum weight loss before FeF2</t>
  </si>
  <si>
    <t>hot region NCL-16</t>
  </si>
  <si>
    <t>2.9</t>
  </si>
  <si>
    <t>mg/cm2</t>
  </si>
  <si>
    <t>pre-FeF2 baseline</t>
  </si>
  <si>
    <t>weight-loss validation</t>
  </si>
  <si>
    <t>M-012</t>
  </si>
  <si>
    <t>Maximum weight gain before FeF2</t>
  </si>
  <si>
    <t>cold region NCL-16</t>
  </si>
  <si>
    <t>1.7</t>
  </si>
  <si>
    <t>cold-leg deposition validation</t>
  </si>
  <si>
    <t>M-013</t>
  </si>
  <si>
    <t>Maximum uniform corrosion rate before FeF2</t>
  </si>
  <si>
    <t>NCL-16</t>
  </si>
  <si>
    <t>0.04</t>
  </si>
  <si>
    <t>calculated from max weight loss</t>
  </si>
  <si>
    <t>corrosion-rate validation</t>
  </si>
  <si>
    <t>M-014</t>
  </si>
  <si>
    <t>Salt chromium increase</t>
  </si>
  <si>
    <t>Cr</t>
  </si>
  <si>
    <t>NCL-16 salt</t>
  </si>
  <si>
    <t>+500</t>
  </si>
  <si>
    <t>pre-FeF2 operation</t>
  </si>
  <si>
    <t>salt chemistry inventory</t>
  </si>
  <si>
    <t>M-015</t>
  </si>
  <si>
    <t>Salt iron decrease</t>
  </si>
  <si>
    <t>Fe</t>
  </si>
  <si>
    <t>-100</t>
  </si>
  <si>
    <t>M-016</t>
  </si>
  <si>
    <t>FeF2 addition level</t>
  </si>
  <si>
    <t>FeF2</t>
  </si>
  <si>
    <t>500, twice</t>
  </si>
  <si>
    <t>two additions</t>
  </si>
  <si>
    <t>redox perturbation input</t>
  </si>
  <si>
    <t>M-017</t>
  </si>
  <si>
    <t>Accelerated weight-change effect</t>
  </si>
  <si>
    <t>NCL-16 after FeF2</t>
  </si>
  <si>
    <t>450 h change about previous 10000 h</t>
  </si>
  <si>
    <t>qualitative ratio</t>
  </si>
  <si>
    <t>from discussion narrative</t>
  </si>
  <si>
    <t>redox acceleration factor</t>
  </si>
  <si>
    <t>M-018</t>
  </si>
  <si>
    <t>Post-FeF2 weight-loss acceleration</t>
  </si>
  <si>
    <t>6</t>
  </si>
  <si>
    <t>times baseline</t>
  </si>
  <si>
    <t>weight losses six times previous 29500 h after 2900 h</t>
  </si>
  <si>
    <t>M-019</t>
  </si>
  <si>
    <t>Crack/defect depth after FeF2</t>
  </si>
  <si>
    <t>0.5</t>
  </si>
  <si>
    <t>visible cracks/voids to about this depth</t>
  </si>
  <si>
    <t>attack-depth validation</t>
  </si>
  <si>
    <t>M-020</t>
  </si>
  <si>
    <t>Maximum salt-side void zone</t>
  </si>
  <si>
    <t>hot section Loop 1255</t>
  </si>
  <si>
    <t>4</t>
  </si>
  <si>
    <t>maximum void depth; cold deposition also observed</t>
  </si>
  <si>
    <t>long-term attack-depth validation</t>
  </si>
  <si>
    <t>M-021</t>
  </si>
  <si>
    <t>Loop 1255 salt</t>
  </si>
  <si>
    <t>100 to 1800</t>
  </si>
  <si>
    <t>OCR data should be checked in source table</t>
  </si>
  <si>
    <t>salt inventory validation</t>
  </si>
  <si>
    <t>M-022</t>
  </si>
  <si>
    <t>External mixed oxide maximum thickness</t>
  </si>
  <si>
    <t>Hastelloy N exterior</t>
  </si>
  <si>
    <t>under heaters in air</t>
  </si>
  <si>
    <t>2</t>
  </si>
  <si>
    <t>air-side oxide, not salt-side corrosion</t>
  </si>
  <si>
    <t>external oxidation boundary condition</t>
  </si>
  <si>
    <t>M-023</t>
  </si>
  <si>
    <t>Maximum uniform corrosion rate</t>
  </si>
  <si>
    <t>0.86</t>
  </si>
  <si>
    <t>long 304L loop in fuel-like salt</t>
  </si>
  <si>
    <t>stainless corrosion-rate validation</t>
  </si>
  <si>
    <t>M-024</t>
  </si>
  <si>
    <t>Maximum void depth</t>
  </si>
  <si>
    <t>10</t>
  </si>
  <si>
    <t>Cr depletion/void attack</t>
  </si>
  <si>
    <t>stainless attack-depth validation</t>
  </si>
  <si>
    <t>M-025</t>
  </si>
  <si>
    <t>1</t>
  </si>
  <si>
    <t>Cr/Fe transfer in fluoride salt</t>
  </si>
  <si>
    <t>M-026</t>
  </si>
  <si>
    <t>Initial equivalent corrosion rate</t>
  </si>
  <si>
    <t>NCL-31 hottest specimen</t>
  </si>
  <si>
    <t>8.4</t>
  </si>
  <si>
    <t>reported value from parsed text; verify original scan/OCR</t>
  </si>
  <si>
    <t>redox/impurity high-corrosion case</t>
  </si>
  <si>
    <t>M-027</t>
  </si>
  <si>
    <t>Weight change after Be addition</t>
  </si>
  <si>
    <t>NCL-31 after Be redox adjustment</t>
  </si>
  <si>
    <t>500 to 1000</t>
  </si>
  <si>
    <t>below detection</t>
  </si>
  <si>
    <t>weight changes below detection after reducing addition</t>
  </si>
  <si>
    <t>redox mitigation validation</t>
  </si>
  <si>
    <t>M-028</t>
  </si>
  <si>
    <t>Maximum corrosion rate</t>
  </si>
  <si>
    <t>NaBF4-NaF thermal loop</t>
  </si>
  <si>
    <t>0.29</t>
  </si>
  <si>
    <t>from indexed abstract/search result</t>
  </si>
  <si>
    <t>fluoroborate mass-transfer validation</t>
  </si>
  <si>
    <t>M-029</t>
  </si>
  <si>
    <t>Maximum mass loss</t>
  </si>
  <si>
    <t>hot leg of FLiNaK TCL</t>
  </si>
  <si>
    <t>1.4</t>
  </si>
  <si>
    <t>ORNL abstract</t>
  </si>
  <si>
    <t>modern flowing weight-loss validation</t>
  </si>
  <si>
    <t>M-030</t>
  </si>
  <si>
    <t>Maximum mass gain</t>
  </si>
  <si>
    <t>cold leg of FLiNaK TCL</t>
  </si>
  <si>
    <t>1.0</t>
  </si>
  <si>
    <t>M-031</t>
  </si>
  <si>
    <t>Cr loss depth</t>
  </si>
  <si>
    <t>~5</t>
  </si>
  <si>
    <t>um</t>
  </si>
  <si>
    <t>Cr loss apparent to about 5 um</t>
  </si>
  <si>
    <t>selective depletion depth</t>
  </si>
  <si>
    <t>M-032</t>
  </si>
  <si>
    <t>FLiBe flowing attack severity</t>
  </si>
  <si>
    <t>FLiBe TCL</t>
  </si>
  <si>
    <t>minimal</t>
  </si>
  <si>
    <t>classic mass transfer not clearly observed; water cleaning caveat</t>
  </si>
  <si>
    <t>modern FLiBe compatibility check</t>
  </si>
  <si>
    <t>M-033</t>
  </si>
  <si>
    <t>Maximum corrosion damage depth</t>
  </si>
  <si>
    <t>Alloy X750</t>
  </si>
  <si>
    <t>FLiNaK multi-alloy test</t>
  </si>
  <si>
    <t>250</t>
  </si>
  <si>
    <t>co-exposure with other alloys</t>
  </si>
  <si>
    <t>multi-material severe attack</t>
  </si>
  <si>
    <t>M-034</t>
  </si>
  <si>
    <t>Corrosion damage depth</t>
  </si>
  <si>
    <t>20</t>
  </si>
  <si>
    <t>Hastelloy N gained weight, attributed to plating</t>
  </si>
  <si>
    <t>plating/corrosion interaction</t>
  </si>
  <si>
    <t>M-035</t>
  </si>
  <si>
    <t>Loaded weight-loss rate</t>
  </si>
  <si>
    <t>stressed FLiNaK exposure</t>
  </si>
  <si>
    <t>0.022</t>
  </si>
  <si>
    <t>mg/cm2 h</t>
  </si>
  <si>
    <t>stress application increased rate</t>
  </si>
  <si>
    <t>stress-corrosion acceleration</t>
  </si>
  <si>
    <t>M-036</t>
  </si>
  <si>
    <t>Unloaded/literature weight-loss rate range</t>
  </si>
  <si>
    <t>Hastelloy N / GH3535</t>
  </si>
  <si>
    <t>FLiNaK exposure 650-750 C</t>
  </si>
  <si>
    <t>0.0006 to 0.0093</t>
  </si>
  <si>
    <t>range reported for HN/GH3535 in FLiNaK environments</t>
  </si>
  <si>
    <t>baseline stress-free corrosion rate</t>
  </si>
  <si>
    <t>M-037</t>
  </si>
  <si>
    <t>IGC crack length</t>
  </si>
  <si>
    <t>unloaded sample cross-section</t>
  </si>
  <si>
    <t>up to 100</t>
  </si>
  <si>
    <t>sample had distinct IGC characteristics</t>
  </si>
  <si>
    <t>IGC depth validation</t>
  </si>
  <si>
    <t>M-038</t>
  </si>
  <si>
    <t>IGC depth in impure chloride salt</t>
  </si>
  <si>
    <t>impure NaCl-KCl-MgCl2</t>
  </si>
  <si>
    <t>130</t>
  </si>
  <si>
    <t>moisture impurity MgCl2.6H2O identified as deleterious</t>
  </si>
  <si>
    <t>chloride impurity corrosion-depth validation</t>
  </si>
  <si>
    <t>M-039</t>
  </si>
  <si>
    <t>Tellurium concentration after Li2Te additions</t>
  </si>
  <si>
    <t>Te in salt</t>
  </si>
  <si>
    <t>&lt;5</t>
  </si>
  <si>
    <t>after five Li2Te pellets; pellets/deposits persisted</t>
  </si>
  <si>
    <t>M-040</t>
  </si>
  <si>
    <t>Weight change in sheet specimens</t>
  </si>
  <si>
    <t>Cr telluride solubility test</t>
  </si>
  <si>
    <t>no detectable weight change</t>
  </si>
  <si>
    <t>AES nevertheless found Te in grain boundaries</t>
  </si>
  <si>
    <t>Te attack without mass-loss signal</t>
  </si>
  <si>
    <t>M-041</t>
  </si>
  <si>
    <t>Intergranular cracking after low-activity telluride exposure</t>
  </si>
  <si>
    <t>extensive IGC</t>
  </si>
  <si>
    <t>contradicted earlier vapor-only result</t>
  </si>
  <si>
    <t>Te IGC threshold validation</t>
  </si>
  <si>
    <t>M-042</t>
  </si>
  <si>
    <t>Calculated critical redox potential for telluride formation</t>
  </si>
  <si>
    <t>U(IV)/U(III)</t>
  </si>
  <si>
    <t>Cr-Te-U experiment</t>
  </si>
  <si>
    <t>about 150</t>
  </si>
  <si>
    <t>ratio</t>
  </si>
  <si>
    <t>reported from calculations in ORNL-TM-6002</t>
  </si>
  <si>
    <t>redox threshold for Te attack</t>
  </si>
  <si>
    <t>M-043</t>
  </si>
  <si>
    <t>Tracer radionuclides generated at alloy/salt interface</t>
  </si>
  <si>
    <t>51Cr, 52Mn, 56Co</t>
  </si>
  <si>
    <t>proton activated 316L hot-leg section</t>
  </si>
  <si>
    <t>16</t>
  </si>
  <si>
    <t>MeV protons</t>
  </si>
  <si>
    <t>activation method for in-situ corrosion/mass transport</t>
  </si>
  <si>
    <t>in-situ source-term tracking</t>
  </si>
  <si>
    <t>source_short_title</t>
  </si>
  <si>
    <t>year</t>
  </si>
  <si>
    <t>source_type</t>
  </si>
  <si>
    <t>primary_scope</t>
  </si>
  <si>
    <t>validation_cases</t>
  </si>
  <si>
    <t>data_available</t>
  </si>
  <si>
    <t>extraction_priority</t>
  </si>
  <si>
    <t>notes</t>
  </si>
  <si>
    <t>ORNL report</t>
  </si>
  <si>
    <t>MSRE in-core Hastelloy N corrosion/irradiation</t>
  </si>
  <si>
    <t>conditions, no-corrosion observation, carbon layer, mechanical tables</t>
  </si>
  <si>
    <t>Primary reactor validation data.</t>
  </si>
  <si>
    <t>MSRE Hastelloy N surveillance specimens - second group</t>
  </si>
  <si>
    <t>MSRE core modified alloys and outside-vessel controls</t>
  </si>
  <si>
    <t>MSRE-SURV-02; MSRE-SURV-03</t>
  </si>
  <si>
    <t>conditions, metallography, mechanical tables</t>
  </si>
  <si>
    <t>OCR source used for conditions; verify exponents in original PDF.</t>
  </si>
  <si>
    <t>MSRE Hastelloy N surveillance specimens - third group</t>
  </si>
  <si>
    <t>MSRE longer exposures, standard/modified/cell controls</t>
  </si>
  <si>
    <t>MSRE-SURV-04; MSRE-SURV-05; MSRE-SURV-06</t>
  </si>
  <si>
    <t>conditions and metallography/mechanics</t>
  </si>
  <si>
    <t>Detailed extraction remains.</t>
  </si>
  <si>
    <t>MSRE Hastelloy N surveillance specimens - fourth group</t>
  </si>
  <si>
    <t>longest MSRE surveillance group</t>
  </si>
  <si>
    <t>MSRE-SURV-07; MSRE-SURV-08; MSRE-SURV-09; MSRE-SURV-10</t>
  </si>
  <si>
    <t>conditions, Cr depletion, salt Cr, diffusion coefficient, mechanical/metallography tables</t>
  </si>
  <si>
    <t>Highest-priority reactor corrosion source.</t>
  </si>
  <si>
    <t>Fission product behavior in the MSRE</t>
  </si>
  <si>
    <t>MSRE fission-product inventories, plating, gas/salt samples, post-op components</t>
  </si>
  <si>
    <t>MSRE-FP-01; MSRE-FP-02; MSRE-FP-03; MSRE-FP-04</t>
  </si>
  <si>
    <t>fission-product salt/gas/deposit tables, component surface deposits, deposition model</t>
  </si>
  <si>
    <t>Master plating/deposition source.</t>
  </si>
  <si>
    <t>Behavior of noble-metal fission products in MSRE</t>
  </si>
  <si>
    <t>noble-metal behavior model and MSRE conditions</t>
  </si>
  <si>
    <t>model equations, MSRE flow/operation conditions, summary of deposits</t>
  </si>
  <si>
    <t>Use with ORNL-4865.</t>
  </si>
  <si>
    <t>Status of Tellurium-Hastelloy N studies in molten fluoride salts</t>
  </si>
  <si>
    <t>Te-induced embrittlement, Cr tellurides, Ni3Te2, redox control</t>
  </si>
  <si>
    <t>MSRE-TE-01; TE-01 to TE-07</t>
  </si>
  <si>
    <t>crack counts/depths, AES profiles, salt Te/Cr, redox potential</t>
  </si>
  <si>
    <t>Master controlled Te source.</t>
  </si>
  <si>
    <t>Compatibility studies of potential molten-salt breeder reactor materials in molten fluoride salts</t>
  </si>
  <si>
    <t>aggregate ORNL thermal-convection loop results</t>
  </si>
  <si>
    <t>ORNL-FL-01 to ORNL-FL-12; ORNL-FL-20</t>
  </si>
  <si>
    <t>loop conditions, alloy/salt tables, corrosion rates, mass transfer mechanisms</t>
  </si>
  <si>
    <t>Master source for loop inventory.</t>
  </si>
  <si>
    <t>Compatibility of Hastelloy N and LiF-BeF2-UF4 in NCL-16</t>
  </si>
  <si>
    <t>NCL-16 high-purity and FeF2 perturbation</t>
  </si>
  <si>
    <t>ORNL-FL-04; ORNL-FL-05</t>
  </si>
  <si>
    <t>weights, salt chemistry, metallography, FeF2 effects</t>
  </si>
  <si>
    <t>Excellent redox perturbation loop.</t>
  </si>
  <si>
    <t>9.2-year Hastelloy N thermal-convection loop</t>
  </si>
  <si>
    <t>Loop 1255 long-duration fuel-like salt, Nb alloy comparison, oxide</t>
  </si>
  <si>
    <t>ORNL-FL-13; ORNL-FL-14</t>
  </si>
  <si>
    <t>voids, deposition, salt chemistry, oxide, welds</t>
  </si>
  <si>
    <t>Longest extracted loop.</t>
  </si>
  <si>
    <t>Type 316 stainless steel compatibility with Li2BeF4</t>
  </si>
  <si>
    <t>316 SS in Li2BeF4 before/after Be redox control</t>
  </si>
  <si>
    <t>ORNL-FL-15; ORNL-FL-16</t>
  </si>
  <si>
    <t>weight change, corrosion rate, voltammetry, salt chemistry</t>
  </si>
  <si>
    <t>OCR value for initial corrosion rate should be verified.</t>
  </si>
  <si>
    <t>ORNL-TM-5783</t>
  </si>
  <si>
    <t>Compatibility studies in molten fluoride salts, 1974-1976</t>
  </si>
  <si>
    <t>summary of later fluoride compatibility work</t>
  </si>
  <si>
    <t>Source index only</t>
  </si>
  <si>
    <t>summary data to extract</t>
  </si>
  <si>
    <t>https://moltensalt.org/references/static/downloads/pdf/ORNL-TM-5783.pdf</t>
  </si>
  <si>
    <t>Potential additional loop/capsule data.</t>
  </si>
  <si>
    <t>Ni-Mo alloy chemistry dependence</t>
  </si>
  <si>
    <t>Primary source should be extracted.</t>
  </si>
  <si>
    <t>early fluoride screening</t>
  </si>
  <si>
    <t>early corrosion tests</t>
  </si>
  <si>
    <t>Early source; good completeness check.</t>
  </si>
  <si>
    <t>high-temperature refractory compatibility</t>
  </si>
  <si>
    <t>corrosion metrics to extract</t>
  </si>
  <si>
    <t>Special material boundary condition.</t>
  </si>
  <si>
    <t>Hastelloy N compatibility with NaBF4-NaF forced-circulation loop</t>
  </si>
  <si>
    <t>fluoroborate forced loop MSR-FCL-2</t>
  </si>
  <si>
    <t>forced-loop corrosion/mass transfer</t>
  </si>
  <si>
    <t>Needs extraction of flow/temp/time/output tables.</t>
  </si>
  <si>
    <t>Forced-circulation corrosion test facility with NaBF4</t>
  </si>
  <si>
    <t>fluoroborate forced loop facility</t>
  </si>
  <si>
    <t>velocity/specimen temperatures/durations</t>
  </si>
  <si>
    <t>Source for flow velocity and facility design.</t>
  </si>
  <si>
    <t>ORNL-TM-3866</t>
  </si>
  <si>
    <t>Corrosion and mass transfer in NaBF4-NaF with Hastelloy N</t>
  </si>
  <si>
    <t>fluoroborate corrosion/mass transfer</t>
  </si>
  <si>
    <t>data to extract</t>
  </si>
  <si>
    <t>Related to FB forced/thermal loops.</t>
  </si>
  <si>
    <t>Mass transfer between Hastelloy N and NaBF4-NaF thermal loop</t>
  </si>
  <si>
    <t>fluoroborate thermal loop</t>
  </si>
  <si>
    <t>temperature/time/corrosion rate</t>
  </si>
  <si>
    <t>Abstract gives useful numeric anchor.</t>
  </si>
  <si>
    <t>Mass transfer of Hastelloy N and Haynes Alloy 25 in sodium fluoroborate</t>
  </si>
  <si>
    <t>fluoroborate alloy comparison</t>
  </si>
  <si>
    <t>mass transfer data to extract</t>
  </si>
  <si>
    <t>Potential alloy contrast.</t>
  </si>
  <si>
    <t>severe fluoroborate corrosion</t>
  </si>
  <si>
    <t>failure/attack data to extract</t>
  </si>
  <si>
    <t>Adverse condition.</t>
  </si>
  <si>
    <t>Hastelloy N and Croloy-9M with NaBF4-NaF-KBF4</t>
  </si>
  <si>
    <t>fluoroborate variant salt</t>
  </si>
  <si>
    <t>corrosion data to extract</t>
  </si>
  <si>
    <t>Secondary coolant variant.</t>
  </si>
  <si>
    <t>BF3 potential effects</t>
  </si>
  <si>
    <t>chemistry/corrosion data to extract</t>
  </si>
  <si>
    <t>Gas-salt chemistry boundary.</t>
  </si>
  <si>
    <t>braze/joint materials</t>
  </si>
  <si>
    <t>compatibility data to extract</t>
  </si>
  <si>
    <t>Joint materials.</t>
  </si>
  <si>
    <t>journal article</t>
  </si>
  <si>
    <t>modern ORNL FLiNaK TCL</t>
  </si>
  <si>
    <t>mass change, Cr loss, salt chemistry, thermal model</t>
  </si>
  <si>
    <t>Model-ready modern loop.</t>
  </si>
  <si>
    <t>modern FLiBe TCL</t>
  </si>
  <si>
    <t>mass change, characterization</t>
  </si>
  <si>
    <t>Modern FLiBe loop.</t>
  </si>
  <si>
    <t>static and flowing 316H FLiBe</t>
  </si>
  <si>
    <t>static and loop mass change/salt chemistry</t>
  </si>
  <si>
    <t>Recent peer-reviewed synthesis.</t>
  </si>
  <si>
    <t>316L and 316H stainless steel in molten FLiNaK</t>
  </si>
  <si>
    <t>static FLiNaK container effects</t>
  </si>
  <si>
    <t>weight change, depth, recession, SEM/EDS</t>
  </si>
  <si>
    <t>Good container-material sensitivity source.</t>
  </si>
  <si>
    <t>Kinetics of corrosion/oxidation in FLiNaK</t>
  </si>
  <si>
    <t>Hastelloy N/X and SS316 kinetics at 750 C</t>
  </si>
  <si>
    <t>time series, kinetics, morphology</t>
  </si>
  <si>
    <t>High-temperature kinetic dataset.</t>
  </si>
  <si>
    <t>Hastelloy N, X750, SS316, SS304 in FLiNaK</t>
  </si>
  <si>
    <t>multi-alloy FLiNaK co-exposure</t>
  </si>
  <si>
    <t>mass/depth/XPS/SEM</t>
  </si>
  <si>
    <t>Use with caveat of co-exposed alloys.</t>
  </si>
  <si>
    <t>Stress-assisted corrosion of Hastelloy N in FLiNaK</t>
  </si>
  <si>
    <t>stress-assisted IGC</t>
  </si>
  <si>
    <t>weight-loss rates, crack lengths, SEM/ICP</t>
  </si>
  <si>
    <t>Stress-corrosion coupling.</t>
  </si>
  <si>
    <t>Incoloy 800H, Hastelloy G35, 316L in FLiNaK and vapor</t>
  </si>
  <si>
    <t>salt-vapor transition corrosion</t>
  </si>
  <si>
    <t>SEM/EDS and vapor/salt differences</t>
  </si>
  <si>
    <t>Vapor/interface case.</t>
  </si>
  <si>
    <t>In-reactor corrosion of Hastelloy N and 316 in Li-7 FLiBe</t>
  </si>
  <si>
    <t>conference/article</t>
  </si>
  <si>
    <t>static in-reactor FLiBe</t>
  </si>
  <si>
    <t>Rare irradiated FLiBe.</t>
  </si>
  <si>
    <t>316H in NaCl-MgCl2 with/without Mg redox additive</t>
  </si>
  <si>
    <t>chloride redox and impurity effects</t>
  </si>
  <si>
    <t>mass/depth with water and Mg variables</t>
  </si>
  <si>
    <t>Modern chloride redox source.</t>
  </si>
  <si>
    <t>316H in impure and purified NaCl-KCl-MgCl2</t>
  </si>
  <si>
    <t>moisture impurity severe IGC</t>
  </si>
  <si>
    <t>IGC depth, purified/impure comparison</t>
  </si>
  <si>
    <t>Strong impurity benchmark.</t>
  </si>
  <si>
    <t>Candidate materials in flowing NaCl-MgCl2</t>
  </si>
  <si>
    <t>natural convection chloride loop</t>
  </si>
  <si>
    <t>ICP-OES, SEM/EDS corrosion rates</t>
  </si>
  <si>
    <t>Modern flowing chloride loop.</t>
  </si>
  <si>
    <t>Radionuclide tracing in NaCl-MgCl2 loop</t>
  </si>
  <si>
    <t>in-situ chloride mass transport</t>
  </si>
  <si>
    <t>activity vs loop position/time, attack depth</t>
  </si>
  <si>
    <t>Excellent for transient mass-transfer validation.</t>
  </si>
  <si>
    <t>Dendrite corrosion of 316L weld in NaCl-MgCl2 loop</t>
  </si>
  <si>
    <t>weld/base metal chloride loop corrosion</t>
  </si>
  <si>
    <t>SEM/EDS void morphology and element depletion</t>
  </si>
  <si>
    <t>Weld morphology validation.</t>
  </si>
  <si>
    <t>Ni-19Cr-5Fe in purified NaCl-MgCl2</t>
  </si>
  <si>
    <t>model alloy chloride kinetics</t>
  </si>
  <si>
    <t>depth and elemental profiles at 30/240/500 h</t>
  </si>
  <si>
    <t>Model alloy parameter source.</t>
  </si>
  <si>
    <t>Electrochemical corrosion kinetics in MgCl2-KCl-NaCl</t>
  </si>
  <si>
    <t>pure metals and alloys electrochemical kinetics</t>
  </si>
  <si>
    <t>polarization/kinetic data</t>
  </si>
  <si>
    <t>Direct kinetics.</t>
  </si>
  <si>
    <t>Aggregation/data analysis of molten chloride and fluoride corrosion</t>
  </si>
  <si>
    <t>journal article / compiled dataset</t>
  </si>
  <si>
    <t>literature aggregation</t>
  </si>
  <si>
    <t>metadata and corrosion rates across studies</t>
  </si>
  <si>
    <t>Completeness cross-check.</t>
  </si>
  <si>
    <t>thermodynamic data for salts/fission/corrosion products</t>
  </si>
  <si>
    <t>thermodynamic properties and phase equilibria</t>
  </si>
  <si>
    <t>Use for chemistry validation, not direct corrosion rates.</t>
  </si>
  <si>
    <t>FEI ORNL Technical Memoranda index</t>
  </si>
  <si>
    <t>bibliography</t>
  </si>
  <si>
    <t>source completeness</t>
  </si>
  <si>
    <t>ORNL report inventory</t>
  </si>
  <si>
    <t>Master ORNL source checklist.</t>
  </si>
  <si>
    <t>priority</t>
  </si>
  <si>
    <t>case_ids</t>
  </si>
  <si>
    <t>specific_tables_or_figures_to_digitize</t>
  </si>
  <si>
    <t>why_it_matters</t>
  </si>
  <si>
    <t>status</t>
  </si>
  <si>
    <t>MSRE-FP-01 to MSRE-FP-04</t>
  </si>
  <si>
    <t>Tables 6.x salt samples; 7.x pump bowl exposures; 9.x surveillance deposition profiles; 10.x off-gas deposits; 11.x component surface deposits; Table 12.2 deposition intensities</t>
  </si>
  <si>
    <t>Converts MSRE plating/deposition from narrative to model-ready species/surface/flow arrays.</t>
  </si>
  <si>
    <t>not yet digitized</t>
  </si>
  <si>
    <t>MSRE-SURV-07 to MSRE-SURV-10</t>
  </si>
  <si>
    <t>Metallographic tables, salt chromium discussion, mechanical/property tables, specimen histories</t>
  </si>
  <si>
    <t>Longest in-core Hastelloy N corrosion and Cr depletion benchmark.</t>
  </si>
  <si>
    <t>partially extracted</t>
  </si>
  <si>
    <t>ORNL-FL-01 to ORNL-FL-12</t>
  </si>
  <si>
    <t>Table 1 loop matrix; per-loop weight-change and metallography tables/figures; salt chemistry tables</t>
  </si>
  <si>
    <t>Master ORNL thermal loop matrix for fluoride mass transfer.</t>
  </si>
  <si>
    <t>ORNL-FL-04 to ORNL-FL-05</t>
  </si>
  <si>
    <t>Weight-change tables before/after FeF2, salt analyses, micrographs, specimen-position temperatures</t>
  </si>
  <si>
    <t>Best redox-perturbation loop validation case.</t>
  </si>
  <si>
    <t>MSRE-TE-01; TE-01 to TE-06</t>
  </si>
  <si>
    <t>Tables 1-4; Fig. 4 Te penetration vs time; Fig. 12 cracking vs U(IV)/U(III)</t>
  </si>
  <si>
    <t>Needed to parameterize Te penetration/cracking and redox threshold.</t>
  </si>
  <si>
    <t>ORNL-FL-13 to ORNL-FL-14</t>
  </si>
  <si>
    <t>Salt analysis table; insert specimen metallography; oxide thickness table</t>
  </si>
  <si>
    <t>Longest ORNL loop and external oxidation control.</t>
  </si>
  <si>
    <t>ORNL-FL-15 to ORNL-FL-16</t>
  </si>
  <si>
    <t>Weight-change tables and voltammetry/redox data before/after Be additions</t>
  </si>
  <si>
    <t>Critical 316 SS redox mitigation pair; OCR rate needs verification.</t>
  </si>
  <si>
    <t>ORNL-TM-4221; ORNL-TM-3863; ORNL-TM-4271</t>
  </si>
  <si>
    <t>FB-01 to FB-03</t>
  </si>
  <si>
    <t>Forced loop flow/temperature maps, specimen weight changes, thermal loop corrosion tables</t>
  </si>
  <si>
    <t>Needed for secondary coolant fluoroborate validation.</t>
  </si>
  <si>
    <t>Loop geometry, specimen positions, temperature data, TRANSFORM input/output, salt ICP table</t>
  </si>
  <si>
    <t>Modern model-ready flowing FLiNaK validation.</t>
  </si>
  <si>
    <t>ORNL-FLIBE-316H-2022 and HTCM-FLIBE-316H-2025</t>
  </si>
  <si>
    <t>MOD-F-02 to MOD-F-03</t>
  </si>
  <si>
    <t>Static/flowing mass changes, salt chemistry, Be-addition data</t>
  </si>
  <si>
    <t>Modern FLiBe counterpart and redox effect.</t>
  </si>
  <si>
    <t>Activity time series by loop section; attack depth conversion; precipitation locations</t>
  </si>
  <si>
    <t>Best transient/in-situ chloride mass-transport dataset.</t>
  </si>
  <si>
    <t>3</t>
  </si>
  <si>
    <t>Modern chloride papers</t>
  </si>
  <si>
    <t>MOD-C-01 to MOD-C-10</t>
  </si>
  <si>
    <t>Corrosion depth/weight change/ICP/electrochemical kinetic curves</t>
  </si>
  <si>
    <t>Expands validation to chloride MSR concepts.</t>
  </si>
  <si>
    <t>Supplemental aggregated dataset if available</t>
  </si>
  <si>
    <t>Completeness audit and statistical priors across historical literature.</t>
  </si>
  <si>
    <t>coverage_in_workbook</t>
  </si>
  <si>
    <t>included_cases</t>
  </si>
  <si>
    <t>confidence</t>
  </si>
  <si>
    <t>remaining_risk</t>
  </si>
  <si>
    <t>recommended_next_action</t>
  </si>
  <si>
    <t>MSRE reactor surveillance</t>
  </si>
  <si>
    <t>Groups 1-4 plus static controls and cell-environment controls represented.</t>
  </si>
  <si>
    <t>MSRE-SURV-01 to MSRE-SURV-10</t>
  </si>
  <si>
    <t>Some numerical tables not digitized; OCR exponents require verification in groups 2-3.</t>
  </si>
  <si>
    <t>Digitize all tables from ORNL-TM-1997/2359/2647/3063.</t>
  </si>
  <si>
    <t>MSRE fission-product plating/deposition</t>
  </si>
  <si>
    <t>ORNL-4865 and ORNL-TM-3884 represented, including salt/gas/surveillance/components/off-gas.</t>
  </si>
  <si>
    <t>MSRE-FP-01 to MSRE-FP-05</t>
  </si>
  <si>
    <t>Large number of tables/figures still need structured extraction.</t>
  </si>
  <si>
    <t>Digitize ORNL-4865 tables by sample type and species.</t>
  </si>
  <si>
    <t>ORNL fluoride thermal loops</t>
  </si>
  <si>
    <t>Major loops from ORNL-TM-4286 plus detailed NCL-16, Loop 1255, NCL-31 represented.</t>
  </si>
  <si>
    <t>ORNL-FL-01 to ORNL-FL-19</t>
  </si>
  <si>
    <t>Some early ORNL reports are source-indexed but not numerically extracted.</t>
  </si>
  <si>
    <t>Prioritize ORNL-TM-4286, 4188, 4189, 5782, then 2021/0328.</t>
  </si>
  <si>
    <t>Tellurium / noble-metal controlled tests</t>
  </si>
  <si>
    <t>ORNL-TM-6002 experimental pot, solubility, capsule, screening, redox tests represented.</t>
  </si>
  <si>
    <t>TE-01 to TE-08 plus MSRE-TE-01</t>
  </si>
  <si>
    <t>Large screening-pot results are referenced as tabulated elsewhere; TeGen capsule details need source chain.</t>
  </si>
  <si>
    <t>Retrieve cited TeGen and alloy screening reports and digitize ORNL-TM-6002 tables/figures.</t>
  </si>
  <si>
    <t>Sodium fluoroborate coolant loops</t>
  </si>
  <si>
    <t>Forced and thermal loop reports plus severe/variant cases represented.</t>
  </si>
  <si>
    <t>FB-01 to FB-08</t>
  </si>
  <si>
    <t>Medium-High</t>
  </si>
  <si>
    <t>Most fluoroborate numerical tables not extracted in this pass.</t>
  </si>
  <si>
    <t>Extract ORNL-TM-4221/3863/3866/4271/3488/2741.</t>
  </si>
  <si>
    <t>Flowing FLiNaK/FLiBe, static FLiBe/FLiNaK, stress, vapor, in-reactor FLiBe represented.</t>
  </si>
  <si>
    <t>MOD-F-01 to MOD-F-09</t>
  </si>
  <si>
    <t>Some papers need full-text table extraction; recent Kairos/industry data may be paywalled.</t>
  </si>
  <si>
    <t>Digitize peer-reviewed tables and request industry data if accessible.</t>
  </si>
  <si>
    <t>Static/flowing/redox/tracer/weld/electrochemical/model alloy cases represented.</t>
  </si>
  <si>
    <t>Fast-moving literature; 2025-2026 sources may require refresh before final V&amp;V basis.</t>
  </si>
  <si>
    <t>Update search quarterly and digitize high-priority loops/kinetics.</t>
  </si>
  <si>
    <t>Thermodynamic databases and reviews</t>
  </si>
  <si>
    <t>Raiman-Lee, JRCMSD, MSTDB-TC, FEI index represented.</t>
  </si>
  <si>
    <t>DB-01 to DB-06</t>
  </si>
  <si>
    <t>High for discovery; not direct validation</t>
  </si>
  <si>
    <t>Database access/versioning and supplemental data availability can change.</t>
  </si>
  <si>
    <t>Lock database versions and archive source metadata with validation package.</t>
  </si>
  <si>
    <t>description</t>
  </si>
  <si>
    <t>validation_use</t>
  </si>
  <si>
    <t>data_type_or_units</t>
  </si>
  <si>
    <t>Unique identifier assigned in this workbook.</t>
  </si>
  <si>
    <t>Join key to measurements and source index.</t>
  </si>
  <si>
    <t>text</t>
  </si>
  <si>
    <t>Critical/High/Medium/Low priority assigned by relevance, realism, and data density.</t>
  </si>
  <si>
    <t>Prioritizes validation cases.</t>
  </si>
  <si>
    <t>category</t>
  </si>
  <si>
    <t>Broad family: MSRE reactor evidence, ORNL fluoride loops, ORNL fluoroborate loops, modern fluoride/chloride tests, databases.</t>
  </si>
  <si>
    <t>Group validation campaigns.</t>
  </si>
  <si>
    <t>Specific test type such as reactor surveillance, thermal convection loop, forced circulation loop, static capsule, electrochemical, database.</t>
  </si>
  <si>
    <t>Maps cases to model physics and boundary conditions.</t>
  </si>
  <si>
    <t>Mole percent composition where available; OCR-uncertain entries are flagged.</t>
  </si>
  <si>
    <t>Salt thermodynamics and transport inputs.</t>
  </si>
  <si>
    <t>Hot-leg or nominal temperature. For multi-temperature cases, list values or use notes.</t>
  </si>
  <si>
    <t>Thermal boundary condition.</t>
  </si>
  <si>
    <t>degC or text</t>
  </si>
  <si>
    <t>Cold-leg temperature when available.</t>
  </si>
  <si>
    <t>Mass-transfer gradient.</t>
  </si>
  <si>
    <t>Temperature gradient when available or calculated from source.</t>
  </si>
  <si>
    <t>Thermal-gradient mass transfer driving force.</t>
  </si>
  <si>
    <t>Exposure time in hours when known; otherwise source-specific.</t>
  </si>
  <si>
    <t>Time integration.</t>
  </si>
  <si>
    <t>h or text</t>
  </si>
  <si>
    <t>Static, stirred, thermal convection, forced circulation, reactor primary circulation, gas/off-gas.</t>
  </si>
  <si>
    <t>Transport regime.</t>
  </si>
  <si>
    <t>category/text</t>
  </si>
  <si>
    <t>Velocity or flow rate when extracted.</t>
  </si>
  <si>
    <t>Hydrodynamic mass transfer and deposition.</t>
  </si>
  <si>
    <t>Redox and impurity state including FeF2, Be, Mg, water, U(IV)/U(III), Te additives.</t>
  </si>
  <si>
    <t>Chemical potential and corrosion driving force.</t>
  </si>
  <si>
    <t>Measurement types in the source.</t>
  </si>
  <si>
    <t>Select validation observable.</t>
  </si>
  <si>
    <t>Numerical outputs already extracted into this workbook.</t>
  </si>
  <si>
    <t>Quick model calibration/validation values.</t>
  </si>
  <si>
    <t>Suggested observable for validation from the case.</t>
  </si>
  <si>
    <t>Model validation target.</t>
  </si>
  <si>
    <t>A means primary, well-conditioned data; B means useful but requires extraction or caveats; C means screening or secondary.</t>
  </si>
  <si>
    <t>Weight validation evidence.</t>
  </si>
  <si>
    <t>How ready the row is for direct numerical validation.</t>
  </si>
  <si>
    <t>Triage remaining work.</t>
  </si>
  <si>
    <t>Plain URL to source.</t>
  </si>
  <si>
    <t>Traceability.</t>
  </si>
  <si>
    <t>URL text</t>
  </si>
  <si>
    <t>key outputs extracted; exact stress and salt table need digitization; temperature verified as 700 C from paper Methods section</t>
  </si>
  <si>
    <t>19.7 um average crack depth for first standard Hastelloy N specimen after 1079 h; 1 to 2% Nb reduced cracking; all longer specimens attacked</t>
  </si>
  <si>
    <t>case-level extracted; Table 3 direct average crack depth extracted</t>
  </si>
  <si>
    <t>Table 3 direct average crack depth for first standard Hastelloy N specimen; contradicted earlier vapor-only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</si>
</sst>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4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5">
    <dxf>
      <fill>
        <patternFill patternType="solid">
          <bgColor rgb="FFF4CCCC"/>
        </patternFill>
      </fill>
    </dxf>
    <dxf>
      <fill>
        <patternFill patternType="solid">
          <bgColor rgb="FFEAF4E4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lidationCasesTable" displayName="ValidationCasesTable" ref="A1:AD77">
  <tableColumns count="30">
    <tableColumn id="1" xr3:uid="{00000000-0010-0000-0000-000001000000}" name="case_id"/>
    <tableColumn id="2" xr3:uid="{00000000-0010-0000-0000-000002000000}" name="validation_priority"/>
    <tableColumn id="3" xr3:uid="{00000000-0010-0000-0000-000003000000}" name="source_id"/>
    <tableColumn id="4" xr3:uid="{00000000-0010-0000-0000-000004000000}" name="report_or_study"/>
    <tableColumn id="5" xr3:uid="{00000000-0010-0000-0000-000005000000}" name="experiment_family"/>
    <tableColumn id="6" xr3:uid="{00000000-0010-0000-0000-000006000000}" name="experiment_class"/>
    <tableColumn id="7" xr3:uid="{00000000-0010-0000-0000-000007000000}" name="facility_or_test_id"/>
    <tableColumn id="8" xr3:uid="{00000000-0010-0000-0000-000008000000}" name="primary_model_use"/>
    <tableColumn id="9" xr3:uid="{00000000-0010-0000-0000-000009000000}" name="salt_system"/>
    <tableColumn id="10" xr3:uid="{00000000-0010-0000-0000-00000A000000}" name="salt_composition_mol_percent"/>
    <tableColumn id="11" xr3:uid="{00000000-0010-0000-0000-00000B000000}" name="materials_exposed"/>
    <tableColumn id="12" xr3:uid="{00000000-0010-0000-0000-00000C000000}" name="specimen_or_surface_geometry"/>
    <tableColumn id="13" xr3:uid="{00000000-0010-0000-0000-00000D000000}" name="container_material"/>
    <tableColumn id="14" xr3:uid="{00000000-0010-0000-0000-00000E000000}" name="temperature_C_hot_or_nominal"/>
    <tableColumn id="15" xr3:uid="{00000000-0010-0000-0000-00000F000000}" name="temperature_C_cold"/>
    <tableColumn id="16" xr3:uid="{00000000-0010-0000-0000-000010000000}" name="delta_T_C"/>
    <tableColumn id="17" xr3:uid="{00000000-0010-0000-0000-000011000000}" name="exposure_h"/>
    <tableColumn id="18" xr3:uid="{00000000-0010-0000-0000-000012000000}" name="circulation_or_flow"/>
    <tableColumn id="19" xr3:uid="{00000000-0010-0000-0000-000013000000}" name="velocity_or_flow_rate"/>
    <tableColumn id="20" xr3:uid="{00000000-0010-0000-0000-000014000000}" name="radiation_or_power_conditions"/>
    <tableColumn id="21" xr3:uid="{00000000-0010-0000-0000-000015000000}" name="cover_gas_environment"/>
    <tableColumn id="22" xr3:uid="{00000000-0010-0000-0000-000016000000}" name="redox_impurity_chemistry"/>
    <tableColumn id="23" xr3:uid="{00000000-0010-0000-0000-000017000000}" name="salt_purification_initial_condition"/>
    <tableColumn id="24" xr3:uid="{00000000-0010-0000-0000-000018000000}" name="measured_outputs_available"/>
    <tableColumn id="25" xr3:uid="{00000000-0010-0000-0000-000019000000}" name="key_numeric_outputs_extracted"/>
    <tableColumn id="26" xr3:uid="{00000000-0010-0000-0000-00001A000000}" name="recommended_validation_observable"/>
    <tableColumn id="27" xr3:uid="{00000000-0010-0000-0000-00001B000000}" name="data_quality"/>
    <tableColumn id="28" xr3:uid="{00000000-0010-0000-0000-00001C000000}" name="extraction_status"/>
    <tableColumn id="29" xr3:uid="{00000000-0010-0000-0000-00001D000000}" name="validation_notes"/>
    <tableColumn id="30" xr3:uid="{00000000-0010-0000-0000-00001E000000}" name="source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asurementsTable" displayName="MeasurementsTable" ref="A1:L44">
  <tableColumns count="12">
    <tableColumn id="1" xr3:uid="{00000000-0010-0000-0100-000001000000}" name="measurement_id"/>
    <tableColumn id="2" xr3:uid="{00000000-0010-0000-0100-000002000000}" name="case_id"/>
    <tableColumn id="3" xr3:uid="{00000000-0010-0000-0100-000003000000}" name="observable"/>
    <tableColumn id="4" xr3:uid="{00000000-0010-0000-0100-000004000000}" name="material_or_species"/>
    <tableColumn id="5" xr3:uid="{00000000-0010-0000-0100-000005000000}" name="location_or_condition"/>
    <tableColumn id="6" xr3:uid="{00000000-0010-0000-0100-000006000000}" name="temperature_C"/>
    <tableColumn id="7" xr3:uid="{00000000-0010-0000-0100-000007000000}" name="time_h"/>
    <tableColumn id="8" xr3:uid="{00000000-0010-0000-0100-000008000000}" name="value"/>
    <tableColumn id="9" xr3:uid="{00000000-0010-0000-0100-000009000000}" name="units"/>
    <tableColumn id="10" xr3:uid="{00000000-0010-0000-0100-00000A000000}" name="uncertainty_or_note"/>
    <tableColumn id="11" xr3:uid="{00000000-0010-0000-0100-00000B000000}" name="model_mapping"/>
    <tableColumn id="12" xr3:uid="{00000000-0010-0000-0100-00000C000000}" name="source_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IndexTable" displayName="SourceIndexTable" ref="A1:J44">
  <tableColumns count="10">
    <tableColumn id="1" xr3:uid="{00000000-0010-0000-0200-000001000000}" name="source_id"/>
    <tableColumn id="2" xr3:uid="{00000000-0010-0000-0200-000002000000}" name="source_short_title"/>
    <tableColumn id="3" xr3:uid="{00000000-0010-0000-0200-000003000000}" name="year"/>
    <tableColumn id="4" xr3:uid="{00000000-0010-0000-0200-000004000000}" name="source_type"/>
    <tableColumn id="5" xr3:uid="{00000000-0010-0000-0200-000005000000}" name="primary_scope"/>
    <tableColumn id="6" xr3:uid="{00000000-0010-0000-0200-000006000000}" name="validation_cases"/>
    <tableColumn id="7" xr3:uid="{00000000-0010-0000-0200-000007000000}" name="data_available"/>
    <tableColumn id="8" xr3:uid="{00000000-0010-0000-0200-000008000000}" name="extraction_priority"/>
    <tableColumn id="9" xr3:uid="{00000000-0010-0000-0200-000009000000}" name="source_url"/>
    <tableColumn id="10" xr3:uid="{00000000-0010-0000-0200-00000A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gitizationQueueTable" displayName="DigitizationQueueTable" ref="A1:F14">
  <tableColumns count="6">
    <tableColumn id="1" xr3:uid="{00000000-0010-0000-0300-000001000000}" name="priority"/>
    <tableColumn id="2" xr3:uid="{00000000-0010-0000-0300-000002000000}" name="source_id"/>
    <tableColumn id="3" xr3:uid="{00000000-0010-0000-0300-000003000000}" name="case_ids"/>
    <tableColumn id="4" xr3:uid="{00000000-0010-0000-0300-000004000000}" name="specific_tables_or_figures_to_digitize"/>
    <tableColumn id="5" xr3:uid="{00000000-0010-0000-0300-000005000000}" name="why_it_matters"/>
    <tableColumn id="6" xr3:uid="{00000000-0010-0000-0300-000006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mpletenessMapTable" displayName="CompletenessMapTable" ref="A1:F9">
  <tableColumns count="6">
    <tableColumn id="1" xr3:uid="{00000000-0010-0000-0400-000001000000}" name="family"/>
    <tableColumn id="2" xr3:uid="{00000000-0010-0000-0400-000002000000}" name="coverage_in_workbook"/>
    <tableColumn id="3" xr3:uid="{00000000-0010-0000-0400-000003000000}" name="included_cases"/>
    <tableColumn id="4" xr3:uid="{00000000-0010-0000-0400-000004000000}" name="confidence"/>
    <tableColumn id="5" xr3:uid="{00000000-0010-0000-0400-000005000000}" name="remaining_risk"/>
    <tableColumn id="6" xr3:uid="{00000000-0010-0000-0400-000006000000}" name="recommended_next_ac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ariableDictionaryTable" displayName="VariableDictionaryTable" ref="A1:D19">
  <tableColumns count="4">
    <tableColumn id="1" xr3:uid="{00000000-0010-0000-0500-000001000000}" name="field"/>
    <tableColumn id="2" xr3:uid="{00000000-0010-0000-0500-000002000000}" name="description"/>
    <tableColumn id="3" xr3:uid="{00000000-0010-0000-0500-000003000000}" name="validation_use"/>
    <tableColumn id="4" xr3:uid="{00000000-0010-0000-0500-000004000000}" name="data_type_or_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ncbi.nlm.nih.gov/pmc/articles/PMC10095800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sqref="A1:H1"/>
    </sheetView>
  </sheetViews>
  <sheetFormatPr baseColWidth="10" defaultColWidth="8.83203125" defaultRowHeight="15"/>
  <cols>
    <col min="1" max="1" width="22" customWidth="1"/>
    <col min="2" max="2" width="46" customWidth="1"/>
    <col min="3" max="3" width="18" customWidth="1"/>
    <col min="4" max="4" width="28" customWidth="1"/>
    <col min="5" max="5" width="44" customWidth="1"/>
    <col min="6" max="8" width="8" customWidth="1"/>
  </cols>
  <sheetData>
    <row r="1" spans="1:8">
      <c r="A1" s="7" t="s">
        <v>0</v>
      </c>
      <c r="B1" s="8"/>
      <c r="C1" s="8"/>
      <c r="D1" s="8"/>
      <c r="E1" s="8"/>
      <c r="F1" s="8"/>
      <c r="G1" s="8"/>
      <c r="H1" s="8"/>
    </row>
    <row r="2" spans="1:8">
      <c r="A2" s="3"/>
      <c r="B2" s="3"/>
      <c r="C2" s="3"/>
      <c r="D2" s="3"/>
      <c r="E2" s="3"/>
      <c r="F2" s="3"/>
      <c r="G2" s="3"/>
      <c r="H2" s="3"/>
    </row>
    <row r="3" spans="1:8" ht="16">
      <c r="A3" s="1" t="s">
        <v>1</v>
      </c>
      <c r="B3" s="8" t="s">
        <v>2</v>
      </c>
      <c r="C3" s="8"/>
      <c r="D3" s="8"/>
      <c r="E3" s="8"/>
      <c r="F3" s="8"/>
      <c r="G3" s="8"/>
      <c r="H3" s="8"/>
    </row>
    <row r="4" spans="1:8">
      <c r="A4" s="3"/>
      <c r="B4" s="3"/>
      <c r="C4" s="3"/>
      <c r="D4" s="3"/>
      <c r="E4" s="3"/>
      <c r="F4" s="3"/>
      <c r="G4" s="3"/>
      <c r="H4" s="3"/>
    </row>
    <row r="5" spans="1:8" ht="16">
      <c r="A5" s="1" t="s">
        <v>3</v>
      </c>
      <c r="B5" s="8" t="s">
        <v>4</v>
      </c>
      <c r="C5" s="8"/>
      <c r="D5" s="8"/>
      <c r="E5" s="8"/>
      <c r="F5" s="8"/>
      <c r="G5" s="8"/>
      <c r="H5" s="8"/>
    </row>
    <row r="6" spans="1:8">
      <c r="A6" s="3"/>
      <c r="B6" s="3"/>
      <c r="C6" s="3"/>
      <c r="D6" s="3"/>
      <c r="E6" s="3"/>
      <c r="F6" s="3"/>
      <c r="G6" s="3"/>
      <c r="H6" s="3"/>
    </row>
    <row r="7" spans="1:8" ht="16">
      <c r="A7" s="1" t="s">
        <v>5</v>
      </c>
      <c r="B7" s="8" t="s">
        <v>6</v>
      </c>
      <c r="C7" s="8"/>
      <c r="D7" s="8"/>
      <c r="E7" s="8"/>
      <c r="F7" s="8"/>
      <c r="G7" s="8"/>
      <c r="H7" s="8"/>
    </row>
    <row r="8" spans="1:8">
      <c r="A8" s="3"/>
      <c r="B8" s="3"/>
      <c r="C8" s="3"/>
      <c r="D8" s="3"/>
      <c r="E8" s="3"/>
      <c r="F8" s="3"/>
      <c r="G8" s="3"/>
      <c r="H8" s="3"/>
    </row>
    <row r="9" spans="1:8" ht="16">
      <c r="A9" s="3" t="s">
        <v>7</v>
      </c>
      <c r="B9" s="3" t="s">
        <v>8</v>
      </c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 ht="16">
      <c r="A11" s="2" t="s">
        <v>9</v>
      </c>
      <c r="B11" s="2" t="s">
        <v>10</v>
      </c>
      <c r="C11" s="2" t="s">
        <v>11</v>
      </c>
      <c r="D11" s="2" t="s">
        <v>12</v>
      </c>
      <c r="E11" s="2" t="s">
        <v>13</v>
      </c>
      <c r="F11" s="2"/>
      <c r="G11" s="2"/>
      <c r="H11" s="2"/>
    </row>
    <row r="12" spans="1:8" ht="16">
      <c r="A12" s="3" t="s">
        <v>14</v>
      </c>
      <c r="B12" s="3" t="s">
        <v>15</v>
      </c>
      <c r="C12" s="3" t="s">
        <v>16</v>
      </c>
      <c r="D12" s="3" t="s">
        <v>17</v>
      </c>
      <c r="E12" s="3" t="s">
        <v>18</v>
      </c>
      <c r="F12" s="3"/>
      <c r="G12" s="3"/>
      <c r="H12" s="3"/>
    </row>
    <row r="13" spans="1:8" ht="16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/>
      <c r="G13" s="3"/>
      <c r="H13" s="3"/>
    </row>
    <row r="14" spans="1:8" ht="32">
      <c r="A14" s="3" t="s">
        <v>24</v>
      </c>
      <c r="B14" s="3" t="s">
        <v>25</v>
      </c>
      <c r="C14" s="3" t="s">
        <v>21</v>
      </c>
      <c r="D14" s="3" t="s">
        <v>26</v>
      </c>
      <c r="E14" s="3" t="s">
        <v>27</v>
      </c>
      <c r="F14" s="3"/>
      <c r="G14" s="3"/>
      <c r="H14" s="3"/>
    </row>
    <row r="15" spans="1:8" ht="16">
      <c r="A15" s="3" t="s">
        <v>28</v>
      </c>
      <c r="B15" s="3" t="s">
        <v>29</v>
      </c>
      <c r="C15" s="3" t="s">
        <v>30</v>
      </c>
      <c r="D15" s="3" t="s">
        <v>31</v>
      </c>
      <c r="E15" s="3" t="s">
        <v>32</v>
      </c>
      <c r="F15" s="3"/>
      <c r="G15" s="3"/>
      <c r="H15" s="3"/>
    </row>
    <row r="16" spans="1:8" ht="32">
      <c r="A16" s="3" t="s">
        <v>33</v>
      </c>
      <c r="B16" s="3" t="s">
        <v>34</v>
      </c>
      <c r="C16" s="3" t="s">
        <v>35</v>
      </c>
      <c r="D16" s="3" t="s">
        <v>36</v>
      </c>
      <c r="E16" s="3" t="s">
        <v>37</v>
      </c>
      <c r="F16" s="3"/>
      <c r="G16" s="3"/>
      <c r="H16" s="3"/>
    </row>
    <row r="17" spans="1:8" ht="16">
      <c r="A17" s="3" t="s">
        <v>38</v>
      </c>
      <c r="B17" s="3" t="s">
        <v>39</v>
      </c>
      <c r="C17" s="3" t="s">
        <v>40</v>
      </c>
      <c r="D17" s="3" t="s">
        <v>41</v>
      </c>
      <c r="E17" s="3" t="s">
        <v>42</v>
      </c>
      <c r="F17" s="3"/>
      <c r="G17" s="3"/>
      <c r="H17" s="3"/>
    </row>
    <row r="18" spans="1:8" ht="16">
      <c r="A18" s="3" t="s">
        <v>43</v>
      </c>
      <c r="B18" s="3" t="s">
        <v>44</v>
      </c>
      <c r="C18" s="3" t="s">
        <v>45</v>
      </c>
      <c r="D18" s="3" t="s">
        <v>46</v>
      </c>
      <c r="E18" s="3" t="s">
        <v>47</v>
      </c>
      <c r="F18" s="3"/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</sheetData>
  <mergeCells count="4">
    <mergeCell ref="A1:H1"/>
    <mergeCell ref="B3:H3"/>
    <mergeCell ref="B5:H5"/>
    <mergeCell ref="B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/>
  </sheetViews>
  <sheetFormatPr baseColWidth="10" defaultColWidth="8.83203125" defaultRowHeight="15"/>
  <cols>
    <col min="1" max="1" width="34" customWidth="1"/>
    <col min="2" max="2" width="16" customWidth="1"/>
    <col min="3" max="3" width="4" customWidth="1"/>
    <col min="4" max="4" width="34" customWidth="1"/>
    <col min="5" max="8" width="24" customWidth="1"/>
  </cols>
  <sheetData>
    <row r="1" spans="1:8">
      <c r="A1" s="7" t="s">
        <v>48</v>
      </c>
      <c r="B1" s="8"/>
      <c r="C1" s="8"/>
      <c r="D1" s="8"/>
      <c r="E1" s="8"/>
      <c r="F1" s="8"/>
      <c r="G1" s="8"/>
      <c r="H1" s="8"/>
    </row>
    <row r="2" spans="1:8">
      <c r="A2" s="3"/>
      <c r="B2" s="3"/>
      <c r="C2" s="3"/>
      <c r="D2" s="3"/>
      <c r="E2" s="3"/>
      <c r="F2" s="3"/>
      <c r="G2" s="3"/>
      <c r="H2" s="3"/>
    </row>
    <row r="3" spans="1:8" ht="16">
      <c r="A3" s="2" t="s">
        <v>49</v>
      </c>
      <c r="B3" s="2" t="s">
        <v>50</v>
      </c>
      <c r="C3" s="3"/>
      <c r="D3" s="9" t="s">
        <v>51</v>
      </c>
      <c r="E3" s="9"/>
      <c r="F3" s="9"/>
      <c r="G3" s="9"/>
      <c r="H3" s="9"/>
    </row>
    <row r="4" spans="1:8" ht="16">
      <c r="A4" s="3" t="s">
        <v>52</v>
      </c>
      <c r="B4" s="3">
        <f>COUNTA(Validation_Cases!A2:A1000)</f>
        <v>76</v>
      </c>
      <c r="C4" s="3"/>
      <c r="D4" s="4"/>
      <c r="E4" s="4"/>
      <c r="F4" s="4"/>
      <c r="G4" s="4"/>
      <c r="H4" s="4"/>
    </row>
    <row r="5" spans="1:8" ht="16">
      <c r="A5" s="3" t="s">
        <v>53</v>
      </c>
      <c r="B5" s="3">
        <f>COUNTIF(Validation_Cases!B2:B1000,"Critical")</f>
        <v>29</v>
      </c>
      <c r="C5" s="3"/>
      <c r="D5" s="4"/>
      <c r="E5" s="4"/>
      <c r="F5" s="4"/>
      <c r="G5" s="4"/>
      <c r="H5" s="4"/>
    </row>
    <row r="6" spans="1:8" ht="16">
      <c r="A6" s="3" t="s">
        <v>54</v>
      </c>
      <c r="B6" s="3">
        <f>COUNTIF(Validation_Cases!B2:B1000,"High")</f>
        <v>35</v>
      </c>
      <c r="C6" s="3"/>
      <c r="D6" s="4"/>
      <c r="E6" s="4"/>
      <c r="F6" s="4"/>
      <c r="G6" s="4"/>
      <c r="H6" s="4"/>
    </row>
    <row r="7" spans="1:8" ht="16">
      <c r="A7" s="3" t="s">
        <v>55</v>
      </c>
      <c r="B7" s="3">
        <f>COUNTA(Detailed_Measurements!A2:A1000)</f>
        <v>43</v>
      </c>
      <c r="C7" s="3"/>
      <c r="D7" s="4"/>
      <c r="E7" s="4"/>
      <c r="F7" s="4"/>
      <c r="G7" s="4"/>
      <c r="H7" s="4"/>
    </row>
    <row r="8" spans="1:8" ht="16">
      <c r="A8" s="3" t="s">
        <v>56</v>
      </c>
      <c r="B8" s="3">
        <f>COUNTA(Source_Index!A2:A1000)</f>
        <v>43</v>
      </c>
      <c r="C8" s="3"/>
      <c r="D8" s="4"/>
      <c r="E8" s="4"/>
      <c r="F8" s="4"/>
      <c r="G8" s="4"/>
      <c r="H8" s="4"/>
    </row>
    <row r="9" spans="1:8">
      <c r="A9" s="3"/>
      <c r="B9" s="3"/>
      <c r="C9" s="3"/>
      <c r="D9" s="3"/>
      <c r="E9" s="3"/>
      <c r="F9" s="3"/>
      <c r="G9" s="3"/>
      <c r="H9" s="3"/>
    </row>
    <row r="10" spans="1:8" ht="16">
      <c r="A10" s="2" t="s">
        <v>57</v>
      </c>
      <c r="B10" s="2" t="s">
        <v>58</v>
      </c>
      <c r="C10" s="3"/>
      <c r="D10" s="3"/>
      <c r="E10" s="3"/>
      <c r="F10" s="3"/>
      <c r="G10" s="3"/>
      <c r="H10" s="3"/>
    </row>
    <row r="11" spans="1:8" ht="16">
      <c r="A11" s="3" t="s">
        <v>59</v>
      </c>
      <c r="B11" s="3">
        <f>COUNTIF(Validation_Cases!E2:E1000,A11)</f>
        <v>4</v>
      </c>
      <c r="C11" s="3"/>
      <c r="D11" s="3"/>
      <c r="E11" s="3"/>
      <c r="F11" s="3"/>
      <c r="G11" s="3"/>
      <c r="H11" s="3"/>
    </row>
    <row r="12" spans="1:8" ht="16">
      <c r="A12" s="3" t="s">
        <v>60</v>
      </c>
      <c r="B12" s="3">
        <f>COUNTIF(Validation_Cases!E2:E1000,A12)</f>
        <v>15</v>
      </c>
      <c r="C12" s="3"/>
      <c r="D12" s="3"/>
      <c r="E12" s="3"/>
      <c r="F12" s="3"/>
      <c r="G12" s="3"/>
      <c r="H12" s="3"/>
    </row>
    <row r="13" spans="1:8" ht="16">
      <c r="A13" s="3" t="s">
        <v>61</v>
      </c>
      <c r="B13" s="3">
        <f>COUNTIF(Validation_Cases!E2:E1000,A13)</f>
        <v>10</v>
      </c>
      <c r="C13" s="3"/>
      <c r="D13" s="3"/>
      <c r="E13" s="3"/>
      <c r="F13" s="3"/>
      <c r="G13" s="3"/>
      <c r="H13" s="3"/>
    </row>
    <row r="14" spans="1:8" ht="16">
      <c r="A14" s="3" t="s">
        <v>62</v>
      </c>
      <c r="B14" s="3">
        <f>COUNTIF(Validation_Cases!E2:E1000,A14)</f>
        <v>9</v>
      </c>
      <c r="C14" s="3"/>
      <c r="D14" s="3"/>
      <c r="E14" s="3"/>
      <c r="F14" s="3"/>
      <c r="G14" s="3"/>
      <c r="H14" s="3"/>
    </row>
    <row r="15" spans="1:8" ht="16">
      <c r="A15" s="3" t="s">
        <v>63</v>
      </c>
      <c r="B15" s="3">
        <f>COUNTIF(Validation_Cases!E2:E1000,A15)</f>
        <v>19</v>
      </c>
      <c r="C15" s="3"/>
      <c r="D15" s="3"/>
      <c r="E15" s="3"/>
      <c r="F15" s="3"/>
      <c r="G15" s="3"/>
      <c r="H15" s="3"/>
    </row>
    <row r="16" spans="1:8" ht="16">
      <c r="A16" s="3" t="s">
        <v>64</v>
      </c>
      <c r="B16" s="3">
        <f>COUNTIF(Validation_Cases!E2:E1000,A16)</f>
        <v>8</v>
      </c>
      <c r="C16" s="3"/>
      <c r="D16" s="3"/>
      <c r="E16" s="3"/>
      <c r="F16" s="3"/>
      <c r="G16" s="3"/>
      <c r="H16" s="3"/>
    </row>
    <row r="17" spans="1:8" ht="16">
      <c r="A17" s="3" t="s">
        <v>65</v>
      </c>
      <c r="B17" s="3">
        <f>COUNTIF(Validation_Cases!E2:E1000,A17)</f>
        <v>9</v>
      </c>
      <c r="C17" s="3"/>
      <c r="D17" s="3"/>
      <c r="E17" s="3"/>
      <c r="F17" s="3"/>
      <c r="G17" s="3"/>
      <c r="H17" s="3"/>
    </row>
    <row r="18" spans="1:8" ht="16">
      <c r="A18" s="3" t="s">
        <v>66</v>
      </c>
      <c r="B18" s="3">
        <f>COUNTIF(Validation_Cases!E2:E1000,A18)</f>
        <v>2</v>
      </c>
      <c r="C18" s="3"/>
      <c r="D18" s="3"/>
      <c r="E18" s="3"/>
      <c r="F18" s="3"/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 ht="16">
      <c r="A21" s="2" t="s">
        <v>67</v>
      </c>
      <c r="B21" s="2" t="s">
        <v>58</v>
      </c>
      <c r="C21" s="3"/>
      <c r="D21" s="3"/>
      <c r="E21" s="3"/>
      <c r="F21" s="3"/>
      <c r="G21" s="3"/>
      <c r="H21" s="3"/>
    </row>
    <row r="22" spans="1:8" ht="16">
      <c r="A22" s="3" t="s">
        <v>68</v>
      </c>
      <c r="B22" s="3">
        <f>COUNTIF(Validation_Cases!AA2:AA1000,A22)</f>
        <v>23</v>
      </c>
      <c r="C22" s="3"/>
      <c r="D22" s="3"/>
      <c r="E22" s="3"/>
      <c r="F22" s="3"/>
      <c r="G22" s="3"/>
      <c r="H22" s="3"/>
    </row>
    <row r="23" spans="1:8" ht="16">
      <c r="A23" s="3" t="s">
        <v>69</v>
      </c>
      <c r="B23" s="3">
        <f>COUNTIF(Validation_Cases!AA2:AA1000,A23)</f>
        <v>14</v>
      </c>
      <c r="C23" s="3"/>
      <c r="D23" s="3"/>
      <c r="E23" s="3"/>
      <c r="F23" s="3"/>
      <c r="G23" s="3"/>
      <c r="H23" s="3"/>
    </row>
    <row r="24" spans="1:8" ht="16">
      <c r="A24" s="3" t="s">
        <v>70</v>
      </c>
      <c r="B24" s="3">
        <f>COUNTIF(Validation_Cases!AA2:AA1000,A24)</f>
        <v>26</v>
      </c>
      <c r="C24" s="3"/>
      <c r="D24" s="3"/>
      <c r="E24" s="3"/>
      <c r="F24" s="3"/>
      <c r="G24" s="3"/>
      <c r="H24" s="3"/>
    </row>
    <row r="25" spans="1:8" ht="16">
      <c r="A25" s="3" t="s">
        <v>71</v>
      </c>
      <c r="B25" s="3">
        <f>COUNTIF(Validation_Cases!AA2:AA1000,A25)</f>
        <v>9</v>
      </c>
      <c r="C25" s="3"/>
      <c r="D25" s="3"/>
      <c r="E25" s="3"/>
      <c r="F25" s="3"/>
      <c r="G25" s="3"/>
      <c r="H25" s="3"/>
    </row>
    <row r="26" spans="1:8">
      <c r="A26" s="3"/>
      <c r="B26" s="3"/>
      <c r="C26" s="3"/>
      <c r="D26" s="3"/>
      <c r="E26" s="3"/>
      <c r="F26" s="3"/>
      <c r="G26" s="3"/>
      <c r="H26" s="3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3"/>
      <c r="B28" s="3"/>
      <c r="C28" s="3"/>
      <c r="D28" s="3"/>
      <c r="E28" s="3"/>
      <c r="F28" s="3"/>
      <c r="G28" s="3"/>
      <c r="H28" s="3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3"/>
      <c r="B30" s="3"/>
      <c r="C30" s="3"/>
      <c r="D30" s="3"/>
      <c r="E30" s="3"/>
      <c r="F30" s="3"/>
      <c r="G30" s="3"/>
      <c r="H30" s="3"/>
    </row>
    <row r="31" spans="1:8">
      <c r="A31" s="3"/>
      <c r="B31" s="3"/>
      <c r="C31" s="3"/>
      <c r="D31" s="3"/>
      <c r="E31" s="3"/>
      <c r="F31" s="3"/>
      <c r="G31" s="3"/>
      <c r="H31" s="3"/>
    </row>
    <row r="32" spans="1:8">
      <c r="A32" s="3"/>
      <c r="B32" s="3"/>
      <c r="C32" s="3"/>
      <c r="D32" s="3"/>
      <c r="E32" s="3"/>
      <c r="F32" s="3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</sheetData>
  <mergeCells count="2">
    <mergeCell ref="A1:H1"/>
    <mergeCell ref="D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1000"/>
  <sheetViews>
    <sheetView tabSelected="1" topLeftCell="Y52" workbookViewId="0">
      <selection activeCell="AC60" sqref="AC60"/>
    </sheetView>
  </sheetViews>
  <sheetFormatPr baseColWidth="10" defaultColWidth="8.83203125" defaultRowHeight="15"/>
  <cols>
    <col min="1" max="1" width="18" customWidth="1"/>
    <col min="2" max="2" width="16" customWidth="1"/>
    <col min="3" max="3" width="20" customWidth="1"/>
    <col min="4" max="4" width="42" customWidth="1"/>
    <col min="5" max="5" width="24" customWidth="1"/>
    <col min="6" max="6" width="26" customWidth="1"/>
    <col min="7" max="7" width="28" customWidth="1"/>
    <col min="8" max="8" width="36" customWidth="1"/>
    <col min="9" max="9" width="22" customWidth="1"/>
    <col min="10" max="11" width="28" customWidth="1"/>
    <col min="12" max="12" width="30" customWidth="1"/>
    <col min="13" max="13" width="22" customWidth="1"/>
    <col min="14" max="15" width="16" customWidth="1"/>
    <col min="16" max="16" width="12" customWidth="1"/>
    <col min="17" max="17" width="14" customWidth="1"/>
    <col min="18" max="19" width="24" customWidth="1"/>
    <col min="20" max="20" width="28" customWidth="1"/>
    <col min="21" max="21" width="24" customWidth="1"/>
    <col min="22" max="22" width="32" customWidth="1"/>
    <col min="23" max="23" width="30" customWidth="1"/>
    <col min="24" max="24" width="38" customWidth="1"/>
    <col min="25" max="25" width="42" customWidth="1"/>
    <col min="26" max="26" width="36" customWidth="1"/>
    <col min="27" max="27" width="12" customWidth="1"/>
    <col min="28" max="28" width="28" customWidth="1"/>
    <col min="29" max="29" width="46" customWidth="1"/>
    <col min="30" max="30" width="48" customWidth="1"/>
  </cols>
  <sheetData>
    <row r="1" spans="1:52" ht="45.25" customHeight="1">
      <c r="A1" s="5" t="s">
        <v>21</v>
      </c>
      <c r="B1" s="5" t="s">
        <v>72</v>
      </c>
      <c r="C1" s="5" t="s">
        <v>30</v>
      </c>
      <c r="D1" s="5" t="s">
        <v>73</v>
      </c>
      <c r="E1" s="5" t="s">
        <v>74</v>
      </c>
      <c r="F1" s="5" t="s">
        <v>75</v>
      </c>
      <c r="G1" s="5" t="s">
        <v>76</v>
      </c>
      <c r="H1" s="5" t="s">
        <v>77</v>
      </c>
      <c r="I1" s="5" t="s">
        <v>78</v>
      </c>
      <c r="J1" s="5" t="s">
        <v>79</v>
      </c>
      <c r="K1" s="5" t="s">
        <v>80</v>
      </c>
      <c r="L1" s="5" t="s">
        <v>81</v>
      </c>
      <c r="M1" s="5" t="s">
        <v>82</v>
      </c>
      <c r="N1" s="5" t="s">
        <v>83</v>
      </c>
      <c r="O1" s="5" t="s">
        <v>84</v>
      </c>
      <c r="P1" s="5" t="s">
        <v>85</v>
      </c>
      <c r="Q1" s="5" t="s">
        <v>86</v>
      </c>
      <c r="R1" s="5" t="s">
        <v>87</v>
      </c>
      <c r="S1" s="5" t="s">
        <v>88</v>
      </c>
      <c r="T1" s="5" t="s">
        <v>89</v>
      </c>
      <c r="U1" s="5" t="s">
        <v>90</v>
      </c>
      <c r="V1" s="5" t="s">
        <v>91</v>
      </c>
      <c r="W1" s="5" t="s">
        <v>92</v>
      </c>
      <c r="X1" s="5" t="s">
        <v>93</v>
      </c>
      <c r="Y1" s="5" t="s">
        <v>94</v>
      </c>
      <c r="Z1" s="5" t="s">
        <v>95</v>
      </c>
      <c r="AA1" s="5" t="s">
        <v>96</v>
      </c>
      <c r="AB1" s="5" t="s">
        <v>97</v>
      </c>
      <c r="AC1" s="5" t="s">
        <v>98</v>
      </c>
      <c r="AD1" s="5" t="s">
        <v>99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2" ht="64" customHeight="1">
      <c r="A2" s="4" t="s">
        <v>100</v>
      </c>
      <c r="B2" s="4" t="s">
        <v>101</v>
      </c>
      <c r="C2" s="4" t="s">
        <v>102</v>
      </c>
      <c r="D2" s="4" t="s">
        <v>103</v>
      </c>
      <c r="E2" s="4" t="s">
        <v>60</v>
      </c>
      <c r="F2" s="4" t="s">
        <v>104</v>
      </c>
      <c r="G2" s="4" t="s">
        <v>105</v>
      </c>
      <c r="H2" s="4" t="s">
        <v>106</v>
      </c>
      <c r="I2" s="4" t="s">
        <v>107</v>
      </c>
      <c r="J2" s="4" t="s">
        <v>108</v>
      </c>
      <c r="K2" s="4" t="s">
        <v>109</v>
      </c>
      <c r="L2" s="4" t="s">
        <v>110</v>
      </c>
      <c r="M2" s="4" t="s">
        <v>111</v>
      </c>
      <c r="N2" s="4" t="s">
        <v>112</v>
      </c>
      <c r="O2" s="4"/>
      <c r="P2" s="4"/>
      <c r="Q2" s="4">
        <v>4800</v>
      </c>
      <c r="R2" s="4" t="s">
        <v>113</v>
      </c>
      <c r="S2" s="4" t="s">
        <v>114</v>
      </c>
      <c r="T2" s="4" t="s">
        <v>115</v>
      </c>
      <c r="U2" s="4" t="s">
        <v>116</v>
      </c>
      <c r="V2" s="4" t="s">
        <v>117</v>
      </c>
      <c r="W2" s="4" t="s">
        <v>118</v>
      </c>
      <c r="X2" s="4" t="s">
        <v>119</v>
      </c>
      <c r="Y2" s="4" t="s">
        <v>120</v>
      </c>
      <c r="Z2" s="4" t="s">
        <v>121</v>
      </c>
      <c r="AA2" s="4" t="s">
        <v>68</v>
      </c>
      <c r="AB2" s="4" t="s">
        <v>122</v>
      </c>
      <c r="AC2" s="4" t="s">
        <v>123</v>
      </c>
      <c r="AD2" s="4" t="s">
        <v>124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:52" ht="64" customHeight="1">
      <c r="A3" s="4" t="s">
        <v>125</v>
      </c>
      <c r="B3" s="4" t="s">
        <v>101</v>
      </c>
      <c r="C3" s="4" t="s">
        <v>126</v>
      </c>
      <c r="D3" s="4" t="s">
        <v>127</v>
      </c>
      <c r="E3" s="4" t="s">
        <v>60</v>
      </c>
      <c r="F3" s="4" t="s">
        <v>104</v>
      </c>
      <c r="G3" s="4" t="s">
        <v>128</v>
      </c>
      <c r="H3" s="4" t="s">
        <v>129</v>
      </c>
      <c r="I3" s="4" t="s">
        <v>107</v>
      </c>
      <c r="J3" s="4" t="s">
        <v>108</v>
      </c>
      <c r="K3" s="4" t="s">
        <v>130</v>
      </c>
      <c r="L3" s="4" t="s">
        <v>131</v>
      </c>
      <c r="M3" s="4" t="s">
        <v>111</v>
      </c>
      <c r="N3" s="4" t="s">
        <v>132</v>
      </c>
      <c r="O3" s="4"/>
      <c r="P3" s="4"/>
      <c r="Q3" s="4">
        <v>5500</v>
      </c>
      <c r="R3" s="4" t="s">
        <v>113</v>
      </c>
      <c r="S3" s="4" t="s">
        <v>133</v>
      </c>
      <c r="T3" s="4" t="s">
        <v>134</v>
      </c>
      <c r="U3" s="4" t="s">
        <v>135</v>
      </c>
      <c r="V3" s="4" t="s">
        <v>136</v>
      </c>
      <c r="W3" s="4" t="s">
        <v>118</v>
      </c>
      <c r="X3" s="4" t="s">
        <v>137</v>
      </c>
      <c r="Y3" s="4" t="s">
        <v>138</v>
      </c>
      <c r="Z3" s="4" t="s">
        <v>139</v>
      </c>
      <c r="AA3" s="4" t="s">
        <v>68</v>
      </c>
      <c r="AB3" s="4" t="s">
        <v>140</v>
      </c>
      <c r="AC3" s="4" t="s">
        <v>141</v>
      </c>
      <c r="AD3" s="4" t="s">
        <v>142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 spans="1:52" ht="64" customHeight="1">
      <c r="A4" s="4" t="s">
        <v>143</v>
      </c>
      <c r="B4" s="4" t="s">
        <v>144</v>
      </c>
      <c r="C4" s="4" t="s">
        <v>126</v>
      </c>
      <c r="D4" s="4" t="s">
        <v>145</v>
      </c>
      <c r="E4" s="4" t="s">
        <v>60</v>
      </c>
      <c r="F4" s="4" t="s">
        <v>104</v>
      </c>
      <c r="G4" s="4" t="s">
        <v>146</v>
      </c>
      <c r="H4" s="4" t="s">
        <v>147</v>
      </c>
      <c r="I4" s="4" t="s">
        <v>148</v>
      </c>
      <c r="J4" s="4" t="s">
        <v>16</v>
      </c>
      <c r="K4" s="4" t="s">
        <v>149</v>
      </c>
      <c r="L4" s="4" t="s">
        <v>150</v>
      </c>
      <c r="M4" s="4" t="s">
        <v>151</v>
      </c>
      <c r="N4" s="4" t="s">
        <v>132</v>
      </c>
      <c r="O4" s="4"/>
      <c r="P4" s="4"/>
      <c r="Q4" s="4">
        <v>11000</v>
      </c>
      <c r="R4" s="4" t="s">
        <v>152</v>
      </c>
      <c r="S4" s="4" t="s">
        <v>153</v>
      </c>
      <c r="T4" s="4" t="s">
        <v>154</v>
      </c>
      <c r="U4" s="4" t="s">
        <v>155</v>
      </c>
      <c r="V4" s="4" t="s">
        <v>156</v>
      </c>
      <c r="W4" s="4" t="s">
        <v>16</v>
      </c>
      <c r="X4" s="4" t="s">
        <v>157</v>
      </c>
      <c r="Y4" s="4" t="s">
        <v>158</v>
      </c>
      <c r="Z4" s="4" t="s">
        <v>159</v>
      </c>
      <c r="AA4" s="4" t="s">
        <v>68</v>
      </c>
      <c r="AB4" s="4" t="s">
        <v>160</v>
      </c>
      <c r="AC4" s="4" t="s">
        <v>161</v>
      </c>
      <c r="AD4" s="4" t="s">
        <v>142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1:52" ht="64" customHeight="1">
      <c r="A5" s="4" t="s">
        <v>162</v>
      </c>
      <c r="B5" s="4" t="s">
        <v>101</v>
      </c>
      <c r="C5" s="4" t="s">
        <v>163</v>
      </c>
      <c r="D5" s="4" t="s">
        <v>164</v>
      </c>
      <c r="E5" s="4" t="s">
        <v>60</v>
      </c>
      <c r="F5" s="4" t="s">
        <v>104</v>
      </c>
      <c r="G5" s="4" t="s">
        <v>165</v>
      </c>
      <c r="H5" s="4" t="s">
        <v>166</v>
      </c>
      <c r="I5" s="4" t="s">
        <v>107</v>
      </c>
      <c r="J5" s="4" t="s">
        <v>108</v>
      </c>
      <c r="K5" s="4" t="s">
        <v>149</v>
      </c>
      <c r="L5" s="4" t="s">
        <v>167</v>
      </c>
      <c r="M5" s="4" t="s">
        <v>111</v>
      </c>
      <c r="N5" s="4" t="s">
        <v>168</v>
      </c>
      <c r="O5" s="4"/>
      <c r="P5" s="4"/>
      <c r="Q5" s="4">
        <v>15289</v>
      </c>
      <c r="R5" s="4" t="s">
        <v>113</v>
      </c>
      <c r="S5" s="4" t="s">
        <v>133</v>
      </c>
      <c r="T5" s="4" t="s">
        <v>169</v>
      </c>
      <c r="U5" s="4" t="s">
        <v>135</v>
      </c>
      <c r="V5" s="4" t="s">
        <v>136</v>
      </c>
      <c r="W5" s="4" t="s">
        <v>118</v>
      </c>
      <c r="X5" s="4" t="s">
        <v>170</v>
      </c>
      <c r="Y5" s="4" t="s">
        <v>171</v>
      </c>
      <c r="Z5" s="4" t="s">
        <v>172</v>
      </c>
      <c r="AA5" s="4" t="s">
        <v>68</v>
      </c>
      <c r="AB5" s="4" t="s">
        <v>173</v>
      </c>
      <c r="AC5" s="4" t="s">
        <v>174</v>
      </c>
      <c r="AD5" s="4" t="s">
        <v>175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52" ht="64" customHeight="1">
      <c r="A6" s="4" t="s">
        <v>176</v>
      </c>
      <c r="B6" s="4" t="s">
        <v>144</v>
      </c>
      <c r="C6" s="4" t="s">
        <v>163</v>
      </c>
      <c r="D6" s="4" t="s">
        <v>177</v>
      </c>
      <c r="E6" s="4" t="s">
        <v>60</v>
      </c>
      <c r="F6" s="4" t="s">
        <v>104</v>
      </c>
      <c r="G6" s="4" t="s">
        <v>178</v>
      </c>
      <c r="H6" s="4" t="s">
        <v>179</v>
      </c>
      <c r="I6" s="4" t="s">
        <v>107</v>
      </c>
      <c r="J6" s="4" t="s">
        <v>108</v>
      </c>
      <c r="K6" s="4" t="s">
        <v>180</v>
      </c>
      <c r="L6" s="4" t="s">
        <v>167</v>
      </c>
      <c r="M6" s="4" t="s">
        <v>111</v>
      </c>
      <c r="N6" s="4" t="s">
        <v>168</v>
      </c>
      <c r="O6" s="4"/>
      <c r="P6" s="4"/>
      <c r="Q6" s="4">
        <v>9789</v>
      </c>
      <c r="R6" s="4" t="s">
        <v>113</v>
      </c>
      <c r="S6" s="4" t="s">
        <v>133</v>
      </c>
      <c r="T6" s="4" t="s">
        <v>181</v>
      </c>
      <c r="U6" s="4" t="s">
        <v>135</v>
      </c>
      <c r="V6" s="4" t="s">
        <v>136</v>
      </c>
      <c r="W6" s="4" t="s">
        <v>118</v>
      </c>
      <c r="X6" s="4" t="s">
        <v>170</v>
      </c>
      <c r="Y6" s="4" t="s">
        <v>182</v>
      </c>
      <c r="Z6" s="4" t="s">
        <v>183</v>
      </c>
      <c r="AA6" s="4" t="s">
        <v>68</v>
      </c>
      <c r="AB6" s="4" t="s">
        <v>173</v>
      </c>
      <c r="AC6" s="4" t="s">
        <v>184</v>
      </c>
      <c r="AD6" s="4" t="s">
        <v>175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spans="1:52" ht="64" customHeight="1">
      <c r="A7" s="4" t="s">
        <v>185</v>
      </c>
      <c r="B7" s="4" t="s">
        <v>144</v>
      </c>
      <c r="C7" s="4" t="s">
        <v>163</v>
      </c>
      <c r="D7" s="4" t="s">
        <v>186</v>
      </c>
      <c r="E7" s="4" t="s">
        <v>60</v>
      </c>
      <c r="F7" s="4" t="s">
        <v>104</v>
      </c>
      <c r="G7" s="4" t="s">
        <v>187</v>
      </c>
      <c r="H7" s="4" t="s">
        <v>188</v>
      </c>
      <c r="I7" s="4" t="s">
        <v>148</v>
      </c>
      <c r="J7" s="4" t="s">
        <v>16</v>
      </c>
      <c r="K7" s="4" t="s">
        <v>149</v>
      </c>
      <c r="L7" s="4" t="s">
        <v>189</v>
      </c>
      <c r="M7" s="4" t="s">
        <v>151</v>
      </c>
      <c r="N7" s="4" t="s">
        <v>168</v>
      </c>
      <c r="O7" s="4"/>
      <c r="P7" s="4"/>
      <c r="Q7" s="4">
        <v>20789</v>
      </c>
      <c r="R7" s="4" t="s">
        <v>152</v>
      </c>
      <c r="S7" s="4" t="s">
        <v>153</v>
      </c>
      <c r="T7" s="4" t="s">
        <v>190</v>
      </c>
      <c r="U7" s="4" t="s">
        <v>155</v>
      </c>
      <c r="V7" s="4" t="s">
        <v>156</v>
      </c>
      <c r="W7" s="4" t="s">
        <v>16</v>
      </c>
      <c r="X7" s="4" t="s">
        <v>191</v>
      </c>
      <c r="Y7" s="4" t="s">
        <v>192</v>
      </c>
      <c r="Z7" s="4" t="s">
        <v>193</v>
      </c>
      <c r="AA7" s="4" t="s">
        <v>68</v>
      </c>
      <c r="AB7" s="4" t="s">
        <v>173</v>
      </c>
      <c r="AC7" s="4" t="s">
        <v>194</v>
      </c>
      <c r="AD7" s="4" t="s">
        <v>175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spans="1:52" ht="64" customHeight="1">
      <c r="A8" s="4" t="s">
        <v>195</v>
      </c>
      <c r="B8" s="4" t="s">
        <v>101</v>
      </c>
      <c r="C8" s="4" t="s">
        <v>196</v>
      </c>
      <c r="D8" s="4" t="s">
        <v>197</v>
      </c>
      <c r="E8" s="4" t="s">
        <v>60</v>
      </c>
      <c r="F8" s="4" t="s">
        <v>104</v>
      </c>
      <c r="G8" s="4" t="s">
        <v>198</v>
      </c>
      <c r="H8" s="4" t="s">
        <v>199</v>
      </c>
      <c r="I8" s="4" t="s">
        <v>107</v>
      </c>
      <c r="J8" s="4" t="s">
        <v>108</v>
      </c>
      <c r="K8" s="4" t="s">
        <v>149</v>
      </c>
      <c r="L8" s="4" t="s">
        <v>200</v>
      </c>
      <c r="M8" s="4" t="s">
        <v>111</v>
      </c>
      <c r="N8" s="4" t="s">
        <v>168</v>
      </c>
      <c r="O8" s="4"/>
      <c r="P8" s="4"/>
      <c r="Q8" s="4">
        <v>22533</v>
      </c>
      <c r="R8" s="4" t="s">
        <v>113</v>
      </c>
      <c r="S8" s="4" t="s">
        <v>133</v>
      </c>
      <c r="T8" s="4" t="s">
        <v>201</v>
      </c>
      <c r="U8" s="4" t="s">
        <v>135</v>
      </c>
      <c r="V8" s="4" t="s">
        <v>202</v>
      </c>
      <c r="W8" s="4" t="s">
        <v>118</v>
      </c>
      <c r="X8" s="4" t="s">
        <v>203</v>
      </c>
      <c r="Y8" s="4" t="s">
        <v>204</v>
      </c>
      <c r="Z8" s="4" t="s">
        <v>205</v>
      </c>
      <c r="AA8" s="4" t="s">
        <v>68</v>
      </c>
      <c r="AB8" s="4" t="s">
        <v>206</v>
      </c>
      <c r="AC8" s="4" t="s">
        <v>207</v>
      </c>
      <c r="AD8" s="4" t="s">
        <v>208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spans="1:52" ht="64" customHeight="1">
      <c r="A9" s="4" t="s">
        <v>209</v>
      </c>
      <c r="B9" s="4" t="s">
        <v>144</v>
      </c>
      <c r="C9" s="4" t="s">
        <v>196</v>
      </c>
      <c r="D9" s="4" t="s">
        <v>210</v>
      </c>
      <c r="E9" s="4" t="s">
        <v>60</v>
      </c>
      <c r="F9" s="4" t="s">
        <v>104</v>
      </c>
      <c r="G9" s="4" t="s">
        <v>211</v>
      </c>
      <c r="H9" s="4" t="s">
        <v>212</v>
      </c>
      <c r="I9" s="4" t="s">
        <v>107</v>
      </c>
      <c r="J9" s="4" t="s">
        <v>108</v>
      </c>
      <c r="K9" s="4" t="s">
        <v>180</v>
      </c>
      <c r="L9" s="4" t="s">
        <v>200</v>
      </c>
      <c r="M9" s="4" t="s">
        <v>111</v>
      </c>
      <c r="N9" s="4" t="s">
        <v>168</v>
      </c>
      <c r="O9" s="4"/>
      <c r="P9" s="4"/>
      <c r="Q9" s="4">
        <v>7244</v>
      </c>
      <c r="R9" s="4" t="s">
        <v>113</v>
      </c>
      <c r="S9" s="4" t="s">
        <v>133</v>
      </c>
      <c r="T9" s="4" t="s">
        <v>213</v>
      </c>
      <c r="U9" s="4" t="s">
        <v>135</v>
      </c>
      <c r="V9" s="4" t="s">
        <v>136</v>
      </c>
      <c r="W9" s="4" t="s">
        <v>118</v>
      </c>
      <c r="X9" s="4" t="s">
        <v>214</v>
      </c>
      <c r="Y9" s="4" t="s">
        <v>215</v>
      </c>
      <c r="Z9" s="4" t="s">
        <v>216</v>
      </c>
      <c r="AA9" s="4" t="s">
        <v>68</v>
      </c>
      <c r="AB9" s="4" t="s">
        <v>160</v>
      </c>
      <c r="AC9" s="4" t="s">
        <v>217</v>
      </c>
      <c r="AD9" s="4" t="s">
        <v>208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spans="1:52" ht="64" customHeight="1">
      <c r="A10" s="4" t="s">
        <v>218</v>
      </c>
      <c r="B10" s="4" t="s">
        <v>144</v>
      </c>
      <c r="C10" s="4" t="s">
        <v>196</v>
      </c>
      <c r="D10" s="4" t="s">
        <v>219</v>
      </c>
      <c r="E10" s="4" t="s">
        <v>60</v>
      </c>
      <c r="F10" s="4" t="s">
        <v>104</v>
      </c>
      <c r="G10" s="4" t="s">
        <v>220</v>
      </c>
      <c r="H10" s="4" t="s">
        <v>188</v>
      </c>
      <c r="I10" s="4" t="s">
        <v>148</v>
      </c>
      <c r="J10" s="4" t="s">
        <v>16</v>
      </c>
      <c r="K10" s="4" t="s">
        <v>221</v>
      </c>
      <c r="L10" s="4" t="s">
        <v>222</v>
      </c>
      <c r="M10" s="4" t="s">
        <v>151</v>
      </c>
      <c r="N10" s="4" t="s">
        <v>168</v>
      </c>
      <c r="O10" s="4"/>
      <c r="P10" s="4"/>
      <c r="Q10" s="4">
        <v>17033</v>
      </c>
      <c r="R10" s="4" t="s">
        <v>152</v>
      </c>
      <c r="S10" s="4" t="s">
        <v>153</v>
      </c>
      <c r="T10" s="4" t="s">
        <v>223</v>
      </c>
      <c r="U10" s="4" t="s">
        <v>155</v>
      </c>
      <c r="V10" s="4" t="s">
        <v>156</v>
      </c>
      <c r="W10" s="4" t="s">
        <v>16</v>
      </c>
      <c r="X10" s="4" t="s">
        <v>224</v>
      </c>
      <c r="Y10" s="4" t="s">
        <v>225</v>
      </c>
      <c r="Z10" s="4" t="s">
        <v>226</v>
      </c>
      <c r="AA10" s="4" t="s">
        <v>68</v>
      </c>
      <c r="AB10" s="4" t="s">
        <v>160</v>
      </c>
      <c r="AC10" s="4" t="s">
        <v>227</v>
      </c>
      <c r="AD10" s="4" t="s">
        <v>208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1:52" ht="64" customHeight="1">
      <c r="A11" s="4" t="s">
        <v>228</v>
      </c>
      <c r="B11" s="4" t="s">
        <v>144</v>
      </c>
      <c r="C11" s="4" t="s">
        <v>196</v>
      </c>
      <c r="D11" s="4" t="s">
        <v>229</v>
      </c>
      <c r="E11" s="4" t="s">
        <v>60</v>
      </c>
      <c r="F11" s="4" t="s">
        <v>230</v>
      </c>
      <c r="G11" s="4" t="s">
        <v>231</v>
      </c>
      <c r="H11" s="4" t="s">
        <v>232</v>
      </c>
      <c r="I11" s="4" t="s">
        <v>233</v>
      </c>
      <c r="J11" s="4" t="s">
        <v>234</v>
      </c>
      <c r="K11" s="4" t="s">
        <v>235</v>
      </c>
      <c r="L11" s="4" t="s">
        <v>236</v>
      </c>
      <c r="M11" s="4" t="s">
        <v>237</v>
      </c>
      <c r="N11" s="4" t="s">
        <v>238</v>
      </c>
      <c r="O11" s="4"/>
      <c r="P11" s="4"/>
      <c r="Q11" s="4" t="s">
        <v>239</v>
      </c>
      <c r="R11" s="4" t="s">
        <v>240</v>
      </c>
      <c r="S11" s="4" t="s">
        <v>241</v>
      </c>
      <c r="T11" s="4" t="s">
        <v>242</v>
      </c>
      <c r="U11" s="4" t="s">
        <v>243</v>
      </c>
      <c r="V11" s="4" t="s">
        <v>244</v>
      </c>
      <c r="W11" s="4" t="s">
        <v>245</v>
      </c>
      <c r="X11" s="4" t="s">
        <v>246</v>
      </c>
      <c r="Y11" s="4" t="s">
        <v>247</v>
      </c>
      <c r="Z11" s="4" t="s">
        <v>248</v>
      </c>
      <c r="AA11" s="4" t="s">
        <v>68</v>
      </c>
      <c r="AB11" s="4" t="s">
        <v>249</v>
      </c>
      <c r="AC11" s="4" t="s">
        <v>250</v>
      </c>
      <c r="AD11" s="4" t="s">
        <v>208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52" ht="64" customHeight="1">
      <c r="A12" s="4" t="s">
        <v>251</v>
      </c>
      <c r="B12" s="4" t="s">
        <v>101</v>
      </c>
      <c r="C12" s="4" t="s">
        <v>252</v>
      </c>
      <c r="D12" s="4" t="s">
        <v>253</v>
      </c>
      <c r="E12" s="4" t="s">
        <v>60</v>
      </c>
      <c r="F12" s="4" t="s">
        <v>254</v>
      </c>
      <c r="G12" s="4" t="s">
        <v>255</v>
      </c>
      <c r="H12" s="4" t="s">
        <v>256</v>
      </c>
      <c r="I12" s="4" t="s">
        <v>257</v>
      </c>
      <c r="J12" s="4" t="s">
        <v>258</v>
      </c>
      <c r="K12" s="4" t="s">
        <v>259</v>
      </c>
      <c r="L12" s="4" t="s">
        <v>260</v>
      </c>
      <c r="M12" s="4" t="s">
        <v>261</v>
      </c>
      <c r="N12" s="4" t="s">
        <v>262</v>
      </c>
      <c r="O12" s="4"/>
      <c r="P12" s="4" t="s">
        <v>263</v>
      </c>
      <c r="Q12" s="4" t="s">
        <v>264</v>
      </c>
      <c r="R12" s="4" t="s">
        <v>265</v>
      </c>
      <c r="S12" s="4" t="s">
        <v>266</v>
      </c>
      <c r="T12" s="4" t="s">
        <v>267</v>
      </c>
      <c r="U12" s="4" t="s">
        <v>268</v>
      </c>
      <c r="V12" s="4" t="s">
        <v>269</v>
      </c>
      <c r="W12" s="4" t="s">
        <v>118</v>
      </c>
      <c r="X12" s="4" t="s">
        <v>270</v>
      </c>
      <c r="Y12" s="4" t="s">
        <v>271</v>
      </c>
      <c r="Z12" s="4" t="s">
        <v>272</v>
      </c>
      <c r="AA12" s="4" t="s">
        <v>68</v>
      </c>
      <c r="AB12" s="4" t="s">
        <v>273</v>
      </c>
      <c r="AC12" s="4" t="s">
        <v>274</v>
      </c>
      <c r="AD12" s="4" t="s">
        <v>275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spans="1:52" ht="64" customHeight="1">
      <c r="A13" s="4" t="s">
        <v>276</v>
      </c>
      <c r="B13" s="4" t="s">
        <v>101</v>
      </c>
      <c r="C13" s="4" t="s">
        <v>252</v>
      </c>
      <c r="D13" s="4" t="s">
        <v>277</v>
      </c>
      <c r="E13" s="4" t="s">
        <v>60</v>
      </c>
      <c r="F13" s="4" t="s">
        <v>278</v>
      </c>
      <c r="G13" s="4" t="s">
        <v>279</v>
      </c>
      <c r="H13" s="4" t="s">
        <v>280</v>
      </c>
      <c r="I13" s="4" t="s">
        <v>257</v>
      </c>
      <c r="J13" s="4" t="s">
        <v>281</v>
      </c>
      <c r="K13" s="4" t="s">
        <v>282</v>
      </c>
      <c r="L13" s="4" t="s">
        <v>283</v>
      </c>
      <c r="M13" s="4" t="s">
        <v>284</v>
      </c>
      <c r="N13" s="4" t="s">
        <v>285</v>
      </c>
      <c r="O13" s="4"/>
      <c r="P13" s="4"/>
      <c r="Q13" s="4" t="s">
        <v>286</v>
      </c>
      <c r="R13" s="4" t="s">
        <v>287</v>
      </c>
      <c r="S13" s="4" t="s">
        <v>288</v>
      </c>
      <c r="T13" s="4" t="s">
        <v>289</v>
      </c>
      <c r="U13" s="4" t="s">
        <v>135</v>
      </c>
      <c r="V13" s="4" t="s">
        <v>290</v>
      </c>
      <c r="W13" s="4" t="s">
        <v>118</v>
      </c>
      <c r="X13" s="4" t="s">
        <v>291</v>
      </c>
      <c r="Y13" s="4" t="s">
        <v>292</v>
      </c>
      <c r="Z13" s="4" t="s">
        <v>293</v>
      </c>
      <c r="AA13" s="4" t="s">
        <v>68</v>
      </c>
      <c r="AB13" s="4" t="s">
        <v>294</v>
      </c>
      <c r="AC13" s="4" t="s">
        <v>295</v>
      </c>
      <c r="AD13" s="4" t="s">
        <v>275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spans="1:52" ht="64" customHeight="1">
      <c r="A14" s="4" t="s">
        <v>296</v>
      </c>
      <c r="B14" s="4" t="s">
        <v>101</v>
      </c>
      <c r="C14" s="4" t="s">
        <v>252</v>
      </c>
      <c r="D14" s="4" t="s">
        <v>297</v>
      </c>
      <c r="E14" s="4" t="s">
        <v>60</v>
      </c>
      <c r="F14" s="4" t="s">
        <v>298</v>
      </c>
      <c r="G14" s="4" t="s">
        <v>299</v>
      </c>
      <c r="H14" s="4" t="s">
        <v>300</v>
      </c>
      <c r="I14" s="4" t="s">
        <v>257</v>
      </c>
      <c r="J14" s="4" t="s">
        <v>281</v>
      </c>
      <c r="K14" s="4" t="s">
        <v>301</v>
      </c>
      <c r="L14" s="4" t="s">
        <v>302</v>
      </c>
      <c r="M14" s="4" t="s">
        <v>261</v>
      </c>
      <c r="N14" s="4" t="s">
        <v>303</v>
      </c>
      <c r="O14" s="4"/>
      <c r="P14" s="4"/>
      <c r="Q14" s="4" t="s">
        <v>304</v>
      </c>
      <c r="R14" s="4" t="s">
        <v>305</v>
      </c>
      <c r="S14" s="4" t="s">
        <v>306</v>
      </c>
      <c r="T14" s="4" t="s">
        <v>307</v>
      </c>
      <c r="U14" s="4" t="s">
        <v>308</v>
      </c>
      <c r="V14" s="4" t="s">
        <v>309</v>
      </c>
      <c r="W14" s="4" t="s">
        <v>118</v>
      </c>
      <c r="X14" s="4" t="s">
        <v>310</v>
      </c>
      <c r="Y14" s="4" t="s">
        <v>311</v>
      </c>
      <c r="Z14" s="4" t="s">
        <v>312</v>
      </c>
      <c r="AA14" s="4" t="s">
        <v>68</v>
      </c>
      <c r="AB14" s="4" t="s">
        <v>313</v>
      </c>
      <c r="AC14" s="4" t="s">
        <v>314</v>
      </c>
      <c r="AD14" s="4" t="s">
        <v>275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1:52" ht="64" customHeight="1">
      <c r="A15" s="4" t="s">
        <v>315</v>
      </c>
      <c r="B15" s="4" t="s">
        <v>144</v>
      </c>
      <c r="C15" s="4" t="s">
        <v>252</v>
      </c>
      <c r="D15" s="4" t="s">
        <v>316</v>
      </c>
      <c r="E15" s="4" t="s">
        <v>60</v>
      </c>
      <c r="F15" s="4" t="s">
        <v>317</v>
      </c>
      <c r="G15" s="4" t="s">
        <v>318</v>
      </c>
      <c r="H15" s="4" t="s">
        <v>319</v>
      </c>
      <c r="I15" s="4" t="s">
        <v>320</v>
      </c>
      <c r="J15" s="4" t="s">
        <v>281</v>
      </c>
      <c r="K15" s="4" t="s">
        <v>321</v>
      </c>
      <c r="L15" s="4" t="s">
        <v>322</v>
      </c>
      <c r="M15" s="4" t="s">
        <v>323</v>
      </c>
      <c r="N15" s="4" t="s">
        <v>324</v>
      </c>
      <c r="O15" s="4"/>
      <c r="P15" s="4"/>
      <c r="Q15" s="4" t="s">
        <v>325</v>
      </c>
      <c r="R15" s="4" t="s">
        <v>326</v>
      </c>
      <c r="S15" s="4" t="s">
        <v>327</v>
      </c>
      <c r="T15" s="4" t="s">
        <v>328</v>
      </c>
      <c r="U15" s="4" t="s">
        <v>329</v>
      </c>
      <c r="V15" s="4" t="s">
        <v>330</v>
      </c>
      <c r="W15" s="4" t="s">
        <v>331</v>
      </c>
      <c r="X15" s="4" t="s">
        <v>332</v>
      </c>
      <c r="Y15" s="4" t="s">
        <v>333</v>
      </c>
      <c r="Z15" s="4" t="s">
        <v>334</v>
      </c>
      <c r="AA15" s="4" t="s">
        <v>70</v>
      </c>
      <c r="AB15" s="4" t="s">
        <v>335</v>
      </c>
      <c r="AC15" s="4" t="s">
        <v>336</v>
      </c>
      <c r="AD15" s="4" t="s">
        <v>275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pans="1:52" ht="64" customHeight="1">
      <c r="A16" s="4" t="s">
        <v>337</v>
      </c>
      <c r="B16" s="4" t="s">
        <v>144</v>
      </c>
      <c r="C16" s="4" t="s">
        <v>338</v>
      </c>
      <c r="D16" s="4" t="s">
        <v>339</v>
      </c>
      <c r="E16" s="4" t="s">
        <v>60</v>
      </c>
      <c r="F16" s="4" t="s">
        <v>278</v>
      </c>
      <c r="G16" s="4" t="s">
        <v>340</v>
      </c>
      <c r="H16" s="4" t="s">
        <v>341</v>
      </c>
      <c r="I16" s="4" t="s">
        <v>257</v>
      </c>
      <c r="J16" s="4" t="s">
        <v>342</v>
      </c>
      <c r="K16" s="4" t="s">
        <v>343</v>
      </c>
      <c r="L16" s="4" t="s">
        <v>344</v>
      </c>
      <c r="M16" s="4" t="s">
        <v>261</v>
      </c>
      <c r="N16" s="4" t="s">
        <v>345</v>
      </c>
      <c r="O16" s="4"/>
      <c r="P16" s="4" t="s">
        <v>346</v>
      </c>
      <c r="Q16" s="4" t="s">
        <v>347</v>
      </c>
      <c r="R16" s="4" t="s">
        <v>348</v>
      </c>
      <c r="S16" s="4" t="s">
        <v>349</v>
      </c>
      <c r="T16" s="4" t="s">
        <v>350</v>
      </c>
      <c r="U16" s="4" t="s">
        <v>351</v>
      </c>
      <c r="V16" s="4" t="s">
        <v>352</v>
      </c>
      <c r="W16" s="4" t="s">
        <v>118</v>
      </c>
      <c r="X16" s="4" t="s">
        <v>353</v>
      </c>
      <c r="Y16" s="4" t="s">
        <v>354</v>
      </c>
      <c r="Z16" s="4" t="s">
        <v>355</v>
      </c>
      <c r="AA16" s="4" t="s">
        <v>68</v>
      </c>
      <c r="AB16" s="4" t="s">
        <v>356</v>
      </c>
      <c r="AC16" s="4" t="s">
        <v>357</v>
      </c>
      <c r="AD16" s="4" t="s">
        <v>358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1:52" ht="64" customHeight="1">
      <c r="A17" s="4" t="s">
        <v>359</v>
      </c>
      <c r="B17" s="4" t="s">
        <v>101</v>
      </c>
      <c r="C17" s="4" t="s">
        <v>360</v>
      </c>
      <c r="D17" s="4" t="s">
        <v>361</v>
      </c>
      <c r="E17" s="4" t="s">
        <v>65</v>
      </c>
      <c r="F17" s="4" t="s">
        <v>362</v>
      </c>
      <c r="G17" s="4" t="s">
        <v>363</v>
      </c>
      <c r="H17" s="4" t="s">
        <v>364</v>
      </c>
      <c r="I17" s="4" t="s">
        <v>365</v>
      </c>
      <c r="J17" s="4" t="s">
        <v>366</v>
      </c>
      <c r="K17" s="4" t="s">
        <v>367</v>
      </c>
      <c r="L17" s="4" t="s">
        <v>368</v>
      </c>
      <c r="M17" s="4" t="s">
        <v>369</v>
      </c>
      <c r="N17" s="4" t="s">
        <v>370</v>
      </c>
      <c r="O17" s="4"/>
      <c r="P17" s="4"/>
      <c r="Q17" s="4" t="s">
        <v>371</v>
      </c>
      <c r="R17" s="4" t="s">
        <v>372</v>
      </c>
      <c r="S17" s="4" t="s">
        <v>373</v>
      </c>
      <c r="T17" s="4" t="s">
        <v>374</v>
      </c>
      <c r="U17" s="4" t="s">
        <v>375</v>
      </c>
      <c r="V17" s="4" t="s">
        <v>376</v>
      </c>
      <c r="W17" s="4" t="s">
        <v>377</v>
      </c>
      <c r="X17" s="4" t="s">
        <v>378</v>
      </c>
      <c r="Y17" s="4" t="s">
        <v>379</v>
      </c>
      <c r="Z17" s="4" t="s">
        <v>380</v>
      </c>
      <c r="AA17" s="4" t="s">
        <v>68</v>
      </c>
      <c r="AB17" s="4" t="s">
        <v>381</v>
      </c>
      <c r="AC17" s="4" t="s">
        <v>382</v>
      </c>
      <c r="AD17" s="4" t="s">
        <v>383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1:52" ht="64" customHeight="1">
      <c r="A18" s="4" t="s">
        <v>384</v>
      </c>
      <c r="B18" s="4" t="s">
        <v>101</v>
      </c>
      <c r="C18" s="4" t="s">
        <v>385</v>
      </c>
      <c r="D18" s="4" t="s">
        <v>386</v>
      </c>
      <c r="E18" s="4" t="s">
        <v>63</v>
      </c>
      <c r="F18" s="4" t="s">
        <v>387</v>
      </c>
      <c r="G18" s="4" t="s">
        <v>388</v>
      </c>
      <c r="H18" s="4" t="s">
        <v>389</v>
      </c>
      <c r="I18" s="4" t="s">
        <v>390</v>
      </c>
      <c r="J18" s="4" t="s">
        <v>391</v>
      </c>
      <c r="K18" s="4" t="s">
        <v>392</v>
      </c>
      <c r="L18" s="4" t="s">
        <v>393</v>
      </c>
      <c r="M18" s="4" t="s">
        <v>394</v>
      </c>
      <c r="N18" s="4" t="s">
        <v>395</v>
      </c>
      <c r="O18" s="4" t="s">
        <v>396</v>
      </c>
      <c r="P18" s="4" t="s">
        <v>397</v>
      </c>
      <c r="Q18" s="4" t="s">
        <v>398</v>
      </c>
      <c r="R18" s="4" t="s">
        <v>399</v>
      </c>
      <c r="S18" s="4" t="s">
        <v>400</v>
      </c>
      <c r="T18" s="4" t="s">
        <v>401</v>
      </c>
      <c r="U18" s="4" t="s">
        <v>402</v>
      </c>
      <c r="V18" s="4" t="s">
        <v>403</v>
      </c>
      <c r="W18" s="4" t="s">
        <v>404</v>
      </c>
      <c r="X18" s="4" t="s">
        <v>405</v>
      </c>
      <c r="Y18" s="4" t="s">
        <v>406</v>
      </c>
      <c r="Z18" s="4" t="s">
        <v>407</v>
      </c>
      <c r="AA18" s="4" t="s">
        <v>68</v>
      </c>
      <c r="AB18" s="4" t="s">
        <v>408</v>
      </c>
      <c r="AC18" s="4" t="s">
        <v>409</v>
      </c>
      <c r="AD18" s="4" t="s">
        <v>410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1:52" ht="64" customHeight="1">
      <c r="A19" s="4" t="s">
        <v>411</v>
      </c>
      <c r="B19" s="4" t="s">
        <v>144</v>
      </c>
      <c r="C19" s="4" t="s">
        <v>385</v>
      </c>
      <c r="D19" s="4" t="s">
        <v>412</v>
      </c>
      <c r="E19" s="4" t="s">
        <v>63</v>
      </c>
      <c r="F19" s="4" t="s">
        <v>387</v>
      </c>
      <c r="G19" s="4" t="s">
        <v>413</v>
      </c>
      <c r="H19" s="4" t="s">
        <v>414</v>
      </c>
      <c r="I19" s="4" t="s">
        <v>415</v>
      </c>
      <c r="J19" s="4" t="s">
        <v>416</v>
      </c>
      <c r="K19" s="4" t="s">
        <v>221</v>
      </c>
      <c r="L19" s="4" t="s">
        <v>417</v>
      </c>
      <c r="M19" s="4" t="s">
        <v>221</v>
      </c>
      <c r="N19" s="4" t="s">
        <v>418</v>
      </c>
      <c r="O19" s="4" t="s">
        <v>419</v>
      </c>
      <c r="P19" s="4" t="s">
        <v>420</v>
      </c>
      <c r="Q19" s="4" t="s">
        <v>421</v>
      </c>
      <c r="R19" s="4" t="s">
        <v>422</v>
      </c>
      <c r="S19" s="4" t="s">
        <v>423</v>
      </c>
      <c r="T19" s="4" t="s">
        <v>401</v>
      </c>
      <c r="U19" s="4" t="s">
        <v>424</v>
      </c>
      <c r="V19" s="4" t="s">
        <v>425</v>
      </c>
      <c r="W19" s="4" t="s">
        <v>426</v>
      </c>
      <c r="X19" s="4" t="s">
        <v>427</v>
      </c>
      <c r="Y19" s="4" t="s">
        <v>428</v>
      </c>
      <c r="Z19" s="4" t="s">
        <v>429</v>
      </c>
      <c r="AA19" s="4" t="s">
        <v>70</v>
      </c>
      <c r="AB19" s="4" t="s">
        <v>430</v>
      </c>
      <c r="AC19" s="4" t="s">
        <v>431</v>
      </c>
      <c r="AD19" s="4" t="s">
        <v>410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spans="1:52" ht="64" customHeight="1">
      <c r="A20" s="4" t="s">
        <v>432</v>
      </c>
      <c r="B20" s="4" t="s">
        <v>144</v>
      </c>
      <c r="C20" s="4" t="s">
        <v>385</v>
      </c>
      <c r="D20" s="4" t="s">
        <v>433</v>
      </c>
      <c r="E20" s="4" t="s">
        <v>63</v>
      </c>
      <c r="F20" s="4" t="s">
        <v>387</v>
      </c>
      <c r="G20" s="4" t="s">
        <v>434</v>
      </c>
      <c r="H20" s="4" t="s">
        <v>435</v>
      </c>
      <c r="I20" s="4" t="s">
        <v>415</v>
      </c>
      <c r="J20" s="4" t="s">
        <v>416</v>
      </c>
      <c r="K20" s="4" t="s">
        <v>221</v>
      </c>
      <c r="L20" s="4" t="s">
        <v>417</v>
      </c>
      <c r="M20" s="4" t="s">
        <v>221</v>
      </c>
      <c r="N20" s="4" t="s">
        <v>418</v>
      </c>
      <c r="O20" s="4" t="s">
        <v>419</v>
      </c>
      <c r="P20" s="4" t="s">
        <v>420</v>
      </c>
      <c r="Q20" s="4" t="s">
        <v>436</v>
      </c>
      <c r="R20" s="4" t="s">
        <v>422</v>
      </c>
      <c r="S20" s="4" t="s">
        <v>423</v>
      </c>
      <c r="T20" s="4" t="s">
        <v>401</v>
      </c>
      <c r="U20" s="4" t="s">
        <v>424</v>
      </c>
      <c r="V20" s="4" t="s">
        <v>425</v>
      </c>
      <c r="W20" s="4" t="s">
        <v>426</v>
      </c>
      <c r="X20" s="4" t="s">
        <v>427</v>
      </c>
      <c r="Y20" s="4" t="s">
        <v>437</v>
      </c>
      <c r="Z20" s="4" t="s">
        <v>438</v>
      </c>
      <c r="AA20" s="4" t="s">
        <v>70</v>
      </c>
      <c r="AB20" s="4" t="s">
        <v>430</v>
      </c>
      <c r="AC20" s="4" t="s">
        <v>439</v>
      </c>
      <c r="AD20" s="4" t="s">
        <v>410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spans="1:52" ht="64" customHeight="1">
      <c r="A21" s="4" t="s">
        <v>440</v>
      </c>
      <c r="B21" s="4" t="s">
        <v>101</v>
      </c>
      <c r="C21" s="4" t="s">
        <v>441</v>
      </c>
      <c r="D21" s="4" t="s">
        <v>442</v>
      </c>
      <c r="E21" s="4" t="s">
        <v>63</v>
      </c>
      <c r="F21" s="4" t="s">
        <v>387</v>
      </c>
      <c r="G21" s="4" t="s">
        <v>443</v>
      </c>
      <c r="H21" s="4" t="s">
        <v>444</v>
      </c>
      <c r="I21" s="4" t="s">
        <v>445</v>
      </c>
      <c r="J21" s="4" t="s">
        <v>446</v>
      </c>
      <c r="K21" s="4" t="s">
        <v>447</v>
      </c>
      <c r="L21" s="4" t="s">
        <v>448</v>
      </c>
      <c r="M21" s="4" t="s">
        <v>221</v>
      </c>
      <c r="N21" s="4" t="s">
        <v>449</v>
      </c>
      <c r="O21" s="4" t="s">
        <v>450</v>
      </c>
      <c r="P21" s="4" t="s">
        <v>451</v>
      </c>
      <c r="Q21" s="4" t="s">
        <v>452</v>
      </c>
      <c r="R21" s="4" t="s">
        <v>422</v>
      </c>
      <c r="S21" s="4" t="s">
        <v>453</v>
      </c>
      <c r="T21" s="4" t="s">
        <v>401</v>
      </c>
      <c r="U21" s="4" t="s">
        <v>454</v>
      </c>
      <c r="V21" s="4" t="s">
        <v>455</v>
      </c>
      <c r="W21" s="4" t="s">
        <v>456</v>
      </c>
      <c r="X21" s="4" t="s">
        <v>457</v>
      </c>
      <c r="Y21" s="4" t="s">
        <v>458</v>
      </c>
      <c r="Z21" s="4" t="s">
        <v>459</v>
      </c>
      <c r="AA21" s="4" t="s">
        <v>68</v>
      </c>
      <c r="AB21" s="4" t="s">
        <v>408</v>
      </c>
      <c r="AC21" s="4" t="s">
        <v>460</v>
      </c>
      <c r="AD21" s="4" t="s">
        <v>461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spans="1:52" ht="64" customHeight="1">
      <c r="A22" s="4" t="s">
        <v>462</v>
      </c>
      <c r="B22" s="4" t="s">
        <v>101</v>
      </c>
      <c r="C22" s="4" t="s">
        <v>441</v>
      </c>
      <c r="D22" s="4" t="s">
        <v>463</v>
      </c>
      <c r="E22" s="4" t="s">
        <v>63</v>
      </c>
      <c r="F22" s="4" t="s">
        <v>464</v>
      </c>
      <c r="G22" s="4" t="s">
        <v>465</v>
      </c>
      <c r="H22" s="4" t="s">
        <v>466</v>
      </c>
      <c r="I22" s="4" t="s">
        <v>467</v>
      </c>
      <c r="J22" s="4" t="s">
        <v>468</v>
      </c>
      <c r="K22" s="4" t="s">
        <v>447</v>
      </c>
      <c r="L22" s="4" t="s">
        <v>469</v>
      </c>
      <c r="M22" s="4" t="s">
        <v>221</v>
      </c>
      <c r="N22" s="4" t="s">
        <v>449</v>
      </c>
      <c r="O22" s="4" t="s">
        <v>450</v>
      </c>
      <c r="P22" s="4" t="s">
        <v>451</v>
      </c>
      <c r="Q22" s="4" t="s">
        <v>470</v>
      </c>
      <c r="R22" s="4" t="s">
        <v>422</v>
      </c>
      <c r="S22" s="4" t="s">
        <v>471</v>
      </c>
      <c r="T22" s="4" t="s">
        <v>401</v>
      </c>
      <c r="U22" s="4" t="s">
        <v>472</v>
      </c>
      <c r="V22" s="4" t="s">
        <v>473</v>
      </c>
      <c r="W22" s="4" t="s">
        <v>474</v>
      </c>
      <c r="X22" s="4" t="s">
        <v>475</v>
      </c>
      <c r="Y22" s="4" t="s">
        <v>476</v>
      </c>
      <c r="Z22" s="4" t="s">
        <v>477</v>
      </c>
      <c r="AA22" s="4" t="s">
        <v>68</v>
      </c>
      <c r="AB22" s="4" t="s">
        <v>408</v>
      </c>
      <c r="AC22" s="4" t="s">
        <v>478</v>
      </c>
      <c r="AD22" s="4" t="s">
        <v>461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2" ht="64" customHeight="1">
      <c r="A23" s="4" t="s">
        <v>479</v>
      </c>
      <c r="B23" s="4" t="s">
        <v>144</v>
      </c>
      <c r="C23" s="4" t="s">
        <v>385</v>
      </c>
      <c r="D23" s="4" t="s">
        <v>480</v>
      </c>
      <c r="E23" s="4" t="s">
        <v>63</v>
      </c>
      <c r="F23" s="4" t="s">
        <v>387</v>
      </c>
      <c r="G23" s="4" t="s">
        <v>481</v>
      </c>
      <c r="H23" s="4" t="s">
        <v>482</v>
      </c>
      <c r="I23" s="4" t="s">
        <v>445</v>
      </c>
      <c r="J23" s="4" t="s">
        <v>446</v>
      </c>
      <c r="K23" s="4" t="s">
        <v>221</v>
      </c>
      <c r="L23" s="4" t="s">
        <v>417</v>
      </c>
      <c r="M23" s="4" t="s">
        <v>221</v>
      </c>
      <c r="N23" s="4" t="s">
        <v>449</v>
      </c>
      <c r="O23" s="4" t="s">
        <v>483</v>
      </c>
      <c r="P23" s="4" t="s">
        <v>484</v>
      </c>
      <c r="Q23" s="4" t="s">
        <v>485</v>
      </c>
      <c r="R23" s="4" t="s">
        <v>422</v>
      </c>
      <c r="S23" s="4" t="s">
        <v>423</v>
      </c>
      <c r="T23" s="4" t="s">
        <v>401</v>
      </c>
      <c r="U23" s="4" t="s">
        <v>424</v>
      </c>
      <c r="V23" s="4" t="s">
        <v>425</v>
      </c>
      <c r="W23" s="4" t="s">
        <v>486</v>
      </c>
      <c r="X23" s="4" t="s">
        <v>427</v>
      </c>
      <c r="Y23" s="4" t="s">
        <v>487</v>
      </c>
      <c r="Z23" s="4" t="s">
        <v>488</v>
      </c>
      <c r="AA23" s="4" t="s">
        <v>70</v>
      </c>
      <c r="AB23" s="4" t="s">
        <v>489</v>
      </c>
      <c r="AC23" s="4" t="s">
        <v>490</v>
      </c>
      <c r="AD23" s="4" t="s">
        <v>410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ht="64" customHeight="1">
      <c r="A24" s="4" t="s">
        <v>491</v>
      </c>
      <c r="B24" s="4" t="s">
        <v>144</v>
      </c>
      <c r="C24" s="4" t="s">
        <v>385</v>
      </c>
      <c r="D24" s="4" t="s">
        <v>492</v>
      </c>
      <c r="E24" s="4" t="s">
        <v>63</v>
      </c>
      <c r="F24" s="4" t="s">
        <v>387</v>
      </c>
      <c r="G24" s="4" t="s">
        <v>493</v>
      </c>
      <c r="H24" s="4" t="s">
        <v>494</v>
      </c>
      <c r="I24" s="4" t="s">
        <v>495</v>
      </c>
      <c r="J24" s="4" t="s">
        <v>496</v>
      </c>
      <c r="K24" s="4" t="s">
        <v>221</v>
      </c>
      <c r="L24" s="4" t="s">
        <v>417</v>
      </c>
      <c r="M24" s="4" t="s">
        <v>221</v>
      </c>
      <c r="N24" s="4" t="s">
        <v>449</v>
      </c>
      <c r="O24" s="4" t="s">
        <v>483</v>
      </c>
      <c r="P24" s="4" t="s">
        <v>484</v>
      </c>
      <c r="Q24" s="4" t="s">
        <v>497</v>
      </c>
      <c r="R24" s="4" t="s">
        <v>422</v>
      </c>
      <c r="S24" s="4" t="s">
        <v>423</v>
      </c>
      <c r="T24" s="4" t="s">
        <v>401</v>
      </c>
      <c r="U24" s="4" t="s">
        <v>424</v>
      </c>
      <c r="V24" s="4" t="s">
        <v>425</v>
      </c>
      <c r="W24" s="4" t="s">
        <v>486</v>
      </c>
      <c r="X24" s="4" t="s">
        <v>427</v>
      </c>
      <c r="Y24" s="4" t="s">
        <v>487</v>
      </c>
      <c r="Z24" s="4" t="s">
        <v>498</v>
      </c>
      <c r="AA24" s="4" t="s">
        <v>70</v>
      </c>
      <c r="AB24" s="4" t="s">
        <v>489</v>
      </c>
      <c r="AC24" s="4" t="s">
        <v>499</v>
      </c>
      <c r="AD24" s="4" t="s">
        <v>410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spans="1:52" ht="64" customHeight="1">
      <c r="A25" s="4" t="s">
        <v>500</v>
      </c>
      <c r="B25" s="4" t="s">
        <v>501</v>
      </c>
      <c r="C25" s="4" t="s">
        <v>385</v>
      </c>
      <c r="D25" s="4" t="s">
        <v>502</v>
      </c>
      <c r="E25" s="4" t="s">
        <v>63</v>
      </c>
      <c r="F25" s="4" t="s">
        <v>387</v>
      </c>
      <c r="G25" s="4" t="s">
        <v>503</v>
      </c>
      <c r="H25" s="4" t="s">
        <v>504</v>
      </c>
      <c r="I25" s="4" t="s">
        <v>495</v>
      </c>
      <c r="J25" s="4" t="s">
        <v>496</v>
      </c>
      <c r="K25" s="4" t="s">
        <v>221</v>
      </c>
      <c r="L25" s="4" t="s">
        <v>417</v>
      </c>
      <c r="M25" s="4" t="s">
        <v>221</v>
      </c>
      <c r="N25" s="4" t="s">
        <v>449</v>
      </c>
      <c r="O25" s="4" t="s">
        <v>483</v>
      </c>
      <c r="P25" s="4" t="s">
        <v>484</v>
      </c>
      <c r="Q25" s="4" t="s">
        <v>505</v>
      </c>
      <c r="R25" s="4" t="s">
        <v>422</v>
      </c>
      <c r="S25" s="4" t="s">
        <v>423</v>
      </c>
      <c r="T25" s="4" t="s">
        <v>401</v>
      </c>
      <c r="U25" s="4" t="s">
        <v>424</v>
      </c>
      <c r="V25" s="4" t="s">
        <v>425</v>
      </c>
      <c r="W25" s="4" t="s">
        <v>486</v>
      </c>
      <c r="X25" s="4" t="s">
        <v>427</v>
      </c>
      <c r="Y25" s="4" t="s">
        <v>506</v>
      </c>
      <c r="Z25" s="4" t="s">
        <v>507</v>
      </c>
      <c r="AA25" s="4" t="s">
        <v>70</v>
      </c>
      <c r="AB25" s="4" t="s">
        <v>489</v>
      </c>
      <c r="AC25" s="4" t="s">
        <v>508</v>
      </c>
      <c r="AD25" s="4" t="s">
        <v>410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spans="1:52" ht="64" customHeight="1">
      <c r="A26" s="4" t="s">
        <v>509</v>
      </c>
      <c r="B26" s="4" t="s">
        <v>144</v>
      </c>
      <c r="C26" s="4" t="s">
        <v>385</v>
      </c>
      <c r="D26" s="4" t="s">
        <v>510</v>
      </c>
      <c r="E26" s="4" t="s">
        <v>63</v>
      </c>
      <c r="F26" s="4" t="s">
        <v>387</v>
      </c>
      <c r="G26" s="4" t="s">
        <v>511</v>
      </c>
      <c r="H26" s="4" t="s">
        <v>512</v>
      </c>
      <c r="I26" s="4" t="s">
        <v>495</v>
      </c>
      <c r="J26" s="4" t="s">
        <v>496</v>
      </c>
      <c r="K26" s="4" t="s">
        <v>221</v>
      </c>
      <c r="L26" s="4" t="s">
        <v>417</v>
      </c>
      <c r="M26" s="4" t="s">
        <v>221</v>
      </c>
      <c r="N26" s="4" t="s">
        <v>449</v>
      </c>
      <c r="O26" s="4" t="s">
        <v>483</v>
      </c>
      <c r="P26" s="4" t="s">
        <v>484</v>
      </c>
      <c r="Q26" s="4" t="s">
        <v>513</v>
      </c>
      <c r="R26" s="4" t="s">
        <v>422</v>
      </c>
      <c r="S26" s="4" t="s">
        <v>423</v>
      </c>
      <c r="T26" s="4" t="s">
        <v>401</v>
      </c>
      <c r="U26" s="4" t="s">
        <v>424</v>
      </c>
      <c r="V26" s="4" t="s">
        <v>514</v>
      </c>
      <c r="W26" s="4" t="s">
        <v>486</v>
      </c>
      <c r="X26" s="4" t="s">
        <v>427</v>
      </c>
      <c r="Y26" s="4" t="s">
        <v>506</v>
      </c>
      <c r="Z26" s="4" t="s">
        <v>515</v>
      </c>
      <c r="AA26" s="4" t="s">
        <v>70</v>
      </c>
      <c r="AB26" s="4" t="s">
        <v>489</v>
      </c>
      <c r="AC26" s="4" t="s">
        <v>516</v>
      </c>
      <c r="AD26" s="4" t="s">
        <v>410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spans="1:52" ht="64" customHeight="1">
      <c r="A27" s="4" t="s">
        <v>517</v>
      </c>
      <c r="B27" s="4" t="s">
        <v>144</v>
      </c>
      <c r="C27" s="4" t="s">
        <v>385</v>
      </c>
      <c r="D27" s="4" t="s">
        <v>518</v>
      </c>
      <c r="E27" s="4" t="s">
        <v>63</v>
      </c>
      <c r="F27" s="4" t="s">
        <v>387</v>
      </c>
      <c r="G27" s="4" t="s">
        <v>519</v>
      </c>
      <c r="H27" s="4" t="s">
        <v>520</v>
      </c>
      <c r="I27" s="4" t="s">
        <v>495</v>
      </c>
      <c r="J27" s="4" t="s">
        <v>496</v>
      </c>
      <c r="K27" s="4" t="s">
        <v>221</v>
      </c>
      <c r="L27" s="4" t="s">
        <v>417</v>
      </c>
      <c r="M27" s="4" t="s">
        <v>221</v>
      </c>
      <c r="N27" s="4" t="s">
        <v>449</v>
      </c>
      <c r="O27" s="4" t="s">
        <v>483</v>
      </c>
      <c r="P27" s="4" t="s">
        <v>484</v>
      </c>
      <c r="Q27" s="4" t="s">
        <v>521</v>
      </c>
      <c r="R27" s="4" t="s">
        <v>422</v>
      </c>
      <c r="S27" s="4" t="s">
        <v>423</v>
      </c>
      <c r="T27" s="4" t="s">
        <v>401</v>
      </c>
      <c r="U27" s="4" t="s">
        <v>424</v>
      </c>
      <c r="V27" s="4" t="s">
        <v>514</v>
      </c>
      <c r="W27" s="4" t="s">
        <v>486</v>
      </c>
      <c r="X27" s="4" t="s">
        <v>427</v>
      </c>
      <c r="Y27" s="4" t="s">
        <v>506</v>
      </c>
      <c r="Z27" s="4" t="s">
        <v>522</v>
      </c>
      <c r="AA27" s="4" t="s">
        <v>70</v>
      </c>
      <c r="AB27" s="4" t="s">
        <v>489</v>
      </c>
      <c r="AC27" s="4" t="s">
        <v>523</v>
      </c>
      <c r="AD27" s="4" t="s">
        <v>410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spans="1:52" ht="64" customHeight="1">
      <c r="A28" s="4" t="s">
        <v>524</v>
      </c>
      <c r="B28" s="4" t="s">
        <v>144</v>
      </c>
      <c r="C28" s="4" t="s">
        <v>385</v>
      </c>
      <c r="D28" s="4" t="s">
        <v>525</v>
      </c>
      <c r="E28" s="4" t="s">
        <v>63</v>
      </c>
      <c r="F28" s="4" t="s">
        <v>387</v>
      </c>
      <c r="G28" s="4" t="s">
        <v>526</v>
      </c>
      <c r="H28" s="4" t="s">
        <v>527</v>
      </c>
      <c r="I28" s="4" t="s">
        <v>107</v>
      </c>
      <c r="J28" s="4" t="s">
        <v>528</v>
      </c>
      <c r="K28" s="4" t="s">
        <v>221</v>
      </c>
      <c r="L28" s="4" t="s">
        <v>417</v>
      </c>
      <c r="M28" s="4" t="s">
        <v>221</v>
      </c>
      <c r="N28" s="4" t="s">
        <v>529</v>
      </c>
      <c r="O28" s="4" t="s">
        <v>530</v>
      </c>
      <c r="P28" s="4" t="s">
        <v>531</v>
      </c>
      <c r="Q28" s="4" t="s">
        <v>532</v>
      </c>
      <c r="R28" s="4" t="s">
        <v>422</v>
      </c>
      <c r="S28" s="4" t="s">
        <v>423</v>
      </c>
      <c r="T28" s="4" t="s">
        <v>401</v>
      </c>
      <c r="U28" s="4" t="s">
        <v>424</v>
      </c>
      <c r="V28" s="4" t="s">
        <v>533</v>
      </c>
      <c r="W28" s="4" t="s">
        <v>486</v>
      </c>
      <c r="X28" s="4" t="s">
        <v>427</v>
      </c>
      <c r="Y28" s="4" t="s">
        <v>534</v>
      </c>
      <c r="Z28" s="4" t="s">
        <v>535</v>
      </c>
      <c r="AA28" s="4" t="s">
        <v>70</v>
      </c>
      <c r="AB28" s="4" t="s">
        <v>536</v>
      </c>
      <c r="AC28" s="4" t="s">
        <v>537</v>
      </c>
      <c r="AD28" s="4" t="s">
        <v>410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spans="1:52" ht="64" customHeight="1">
      <c r="A29" s="4" t="s">
        <v>538</v>
      </c>
      <c r="B29" s="4" t="s">
        <v>101</v>
      </c>
      <c r="C29" s="4" t="s">
        <v>385</v>
      </c>
      <c r="D29" s="4" t="s">
        <v>539</v>
      </c>
      <c r="E29" s="4" t="s">
        <v>63</v>
      </c>
      <c r="F29" s="4" t="s">
        <v>387</v>
      </c>
      <c r="G29" s="4" t="s">
        <v>540</v>
      </c>
      <c r="H29" s="4" t="s">
        <v>541</v>
      </c>
      <c r="I29" s="4" t="s">
        <v>495</v>
      </c>
      <c r="J29" s="4" t="s">
        <v>496</v>
      </c>
      <c r="K29" s="4" t="s">
        <v>542</v>
      </c>
      <c r="L29" s="4" t="s">
        <v>543</v>
      </c>
      <c r="M29" s="4" t="s">
        <v>544</v>
      </c>
      <c r="N29" s="4" t="s">
        <v>168</v>
      </c>
      <c r="O29" s="4" t="s">
        <v>545</v>
      </c>
      <c r="P29" s="4" t="s">
        <v>531</v>
      </c>
      <c r="Q29" s="4" t="s">
        <v>546</v>
      </c>
      <c r="R29" s="4" t="s">
        <v>422</v>
      </c>
      <c r="S29" s="4" t="s">
        <v>423</v>
      </c>
      <c r="T29" s="4" t="s">
        <v>401</v>
      </c>
      <c r="U29" s="4" t="s">
        <v>424</v>
      </c>
      <c r="V29" s="4" t="s">
        <v>547</v>
      </c>
      <c r="W29" s="4" t="s">
        <v>486</v>
      </c>
      <c r="X29" s="4" t="s">
        <v>548</v>
      </c>
      <c r="Y29" s="4" t="s">
        <v>549</v>
      </c>
      <c r="Z29" s="4" t="s">
        <v>550</v>
      </c>
      <c r="AA29" s="4" t="s">
        <v>68</v>
      </c>
      <c r="AB29" s="4" t="s">
        <v>551</v>
      </c>
      <c r="AC29" s="4" t="s">
        <v>552</v>
      </c>
      <c r="AD29" s="4" t="s">
        <v>410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spans="1:52" ht="64" customHeight="1">
      <c r="A30" s="4" t="s">
        <v>553</v>
      </c>
      <c r="B30" s="4" t="s">
        <v>101</v>
      </c>
      <c r="C30" s="4" t="s">
        <v>554</v>
      </c>
      <c r="D30" s="4" t="s">
        <v>555</v>
      </c>
      <c r="E30" s="4" t="s">
        <v>63</v>
      </c>
      <c r="F30" s="4" t="s">
        <v>387</v>
      </c>
      <c r="G30" s="4" t="s">
        <v>556</v>
      </c>
      <c r="H30" s="4" t="s">
        <v>557</v>
      </c>
      <c r="I30" s="4" t="s">
        <v>390</v>
      </c>
      <c r="J30" s="4" t="s">
        <v>558</v>
      </c>
      <c r="K30" s="4" t="s">
        <v>559</v>
      </c>
      <c r="L30" s="4" t="s">
        <v>560</v>
      </c>
      <c r="M30" s="4" t="s">
        <v>221</v>
      </c>
      <c r="N30" s="4" t="s">
        <v>561</v>
      </c>
      <c r="O30" s="4" t="s">
        <v>562</v>
      </c>
      <c r="P30" s="4" t="s">
        <v>563</v>
      </c>
      <c r="Q30" s="4" t="s">
        <v>564</v>
      </c>
      <c r="R30" s="4" t="s">
        <v>422</v>
      </c>
      <c r="S30" s="4" t="s">
        <v>565</v>
      </c>
      <c r="T30" s="4" t="s">
        <v>401</v>
      </c>
      <c r="U30" s="4" t="s">
        <v>566</v>
      </c>
      <c r="V30" s="4" t="s">
        <v>567</v>
      </c>
      <c r="W30" s="4" t="s">
        <v>568</v>
      </c>
      <c r="X30" s="4" t="s">
        <v>569</v>
      </c>
      <c r="Y30" s="4" t="s">
        <v>570</v>
      </c>
      <c r="Z30" s="4" t="s">
        <v>571</v>
      </c>
      <c r="AA30" s="4" t="s">
        <v>68</v>
      </c>
      <c r="AB30" s="4" t="s">
        <v>408</v>
      </c>
      <c r="AC30" s="4" t="s">
        <v>572</v>
      </c>
      <c r="AD30" s="4" t="s">
        <v>573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1:52" ht="64" customHeight="1">
      <c r="A31" s="4" t="s">
        <v>574</v>
      </c>
      <c r="B31" s="4" t="s">
        <v>144</v>
      </c>
      <c r="C31" s="4" t="s">
        <v>554</v>
      </c>
      <c r="D31" s="4" t="s">
        <v>575</v>
      </c>
      <c r="E31" s="4" t="s">
        <v>63</v>
      </c>
      <c r="F31" s="4" t="s">
        <v>576</v>
      </c>
      <c r="G31" s="4" t="s">
        <v>577</v>
      </c>
      <c r="H31" s="4" t="s">
        <v>578</v>
      </c>
      <c r="I31" s="4" t="s">
        <v>579</v>
      </c>
      <c r="J31" s="4" t="s">
        <v>16</v>
      </c>
      <c r="K31" s="4" t="s">
        <v>580</v>
      </c>
      <c r="L31" s="4" t="s">
        <v>581</v>
      </c>
      <c r="M31" s="4" t="s">
        <v>582</v>
      </c>
      <c r="N31" s="4" t="s">
        <v>583</v>
      </c>
      <c r="O31" s="4"/>
      <c r="P31" s="4"/>
      <c r="Q31" s="4" t="s">
        <v>584</v>
      </c>
      <c r="R31" s="4" t="s">
        <v>585</v>
      </c>
      <c r="S31" s="4" t="s">
        <v>16</v>
      </c>
      <c r="T31" s="4" t="s">
        <v>401</v>
      </c>
      <c r="U31" s="4" t="s">
        <v>586</v>
      </c>
      <c r="V31" s="4" t="s">
        <v>587</v>
      </c>
      <c r="W31" s="4" t="s">
        <v>588</v>
      </c>
      <c r="X31" s="4" t="s">
        <v>589</v>
      </c>
      <c r="Y31" s="4" t="s">
        <v>590</v>
      </c>
      <c r="Z31" s="4" t="s">
        <v>591</v>
      </c>
      <c r="AA31" s="4" t="s">
        <v>70</v>
      </c>
      <c r="AB31" s="4" t="s">
        <v>160</v>
      </c>
      <c r="AC31" s="4" t="s">
        <v>592</v>
      </c>
      <c r="AD31" s="4" t="s">
        <v>573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spans="1:52" ht="64" customHeight="1">
      <c r="A32" s="4" t="s">
        <v>593</v>
      </c>
      <c r="B32" s="4" t="s">
        <v>101</v>
      </c>
      <c r="C32" s="4" t="s">
        <v>594</v>
      </c>
      <c r="D32" s="4" t="s">
        <v>595</v>
      </c>
      <c r="E32" s="4" t="s">
        <v>63</v>
      </c>
      <c r="F32" s="4" t="s">
        <v>387</v>
      </c>
      <c r="G32" s="4" t="s">
        <v>596</v>
      </c>
      <c r="H32" s="4" t="s">
        <v>597</v>
      </c>
      <c r="I32" s="4" t="s">
        <v>598</v>
      </c>
      <c r="J32" s="4" t="s">
        <v>599</v>
      </c>
      <c r="K32" s="4" t="s">
        <v>542</v>
      </c>
      <c r="L32" s="4" t="s">
        <v>600</v>
      </c>
      <c r="M32" s="4" t="s">
        <v>544</v>
      </c>
      <c r="N32" s="4" t="s">
        <v>168</v>
      </c>
      <c r="O32" s="4"/>
      <c r="P32" s="4"/>
      <c r="Q32" s="4">
        <v>1000</v>
      </c>
      <c r="R32" s="4" t="s">
        <v>422</v>
      </c>
      <c r="S32" s="4" t="s">
        <v>601</v>
      </c>
      <c r="T32" s="4" t="s">
        <v>401</v>
      </c>
      <c r="U32" s="4" t="s">
        <v>602</v>
      </c>
      <c r="V32" s="4" t="s">
        <v>603</v>
      </c>
      <c r="W32" s="4" t="s">
        <v>604</v>
      </c>
      <c r="X32" s="4" t="s">
        <v>605</v>
      </c>
      <c r="Y32" s="4" t="s">
        <v>606</v>
      </c>
      <c r="Z32" s="4" t="s">
        <v>607</v>
      </c>
      <c r="AA32" s="4" t="s">
        <v>69</v>
      </c>
      <c r="AB32" s="4" t="s">
        <v>608</v>
      </c>
      <c r="AC32" s="4" t="s">
        <v>609</v>
      </c>
      <c r="AD32" s="4" t="s">
        <v>610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1:52" ht="64" customHeight="1">
      <c r="A33" s="4" t="s">
        <v>611</v>
      </c>
      <c r="B33" s="4" t="s">
        <v>101</v>
      </c>
      <c r="C33" s="4" t="s">
        <v>594</v>
      </c>
      <c r="D33" s="4" t="s">
        <v>612</v>
      </c>
      <c r="E33" s="4" t="s">
        <v>63</v>
      </c>
      <c r="F33" s="4" t="s">
        <v>613</v>
      </c>
      <c r="G33" s="4" t="s">
        <v>614</v>
      </c>
      <c r="H33" s="4" t="s">
        <v>615</v>
      </c>
      <c r="I33" s="4" t="s">
        <v>598</v>
      </c>
      <c r="J33" s="4" t="s">
        <v>599</v>
      </c>
      <c r="K33" s="4" t="s">
        <v>542</v>
      </c>
      <c r="L33" s="4" t="s">
        <v>616</v>
      </c>
      <c r="M33" s="4" t="s">
        <v>544</v>
      </c>
      <c r="N33" s="4" t="s">
        <v>168</v>
      </c>
      <c r="O33" s="4"/>
      <c r="P33" s="4"/>
      <c r="Q33" s="4" t="s">
        <v>617</v>
      </c>
      <c r="R33" s="4" t="s">
        <v>422</v>
      </c>
      <c r="S33" s="4" t="s">
        <v>601</v>
      </c>
      <c r="T33" s="4" t="s">
        <v>401</v>
      </c>
      <c r="U33" s="4" t="s">
        <v>618</v>
      </c>
      <c r="V33" s="4" t="s">
        <v>619</v>
      </c>
      <c r="W33" s="4" t="s">
        <v>620</v>
      </c>
      <c r="X33" s="4" t="s">
        <v>605</v>
      </c>
      <c r="Y33" s="4" t="s">
        <v>621</v>
      </c>
      <c r="Z33" s="4" t="s">
        <v>622</v>
      </c>
      <c r="AA33" s="4" t="s">
        <v>68</v>
      </c>
      <c r="AB33" s="4" t="s">
        <v>623</v>
      </c>
      <c r="AC33" s="4" t="s">
        <v>624</v>
      </c>
      <c r="AD33" s="4" t="s">
        <v>610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64" customHeight="1">
      <c r="A34" s="4" t="s">
        <v>625</v>
      </c>
      <c r="B34" s="4" t="s">
        <v>144</v>
      </c>
      <c r="C34" s="4" t="s">
        <v>626</v>
      </c>
      <c r="D34" s="4" t="s">
        <v>627</v>
      </c>
      <c r="E34" s="4" t="s">
        <v>63</v>
      </c>
      <c r="F34" s="4" t="s">
        <v>628</v>
      </c>
      <c r="G34" s="4" t="s">
        <v>629</v>
      </c>
      <c r="H34" s="4" t="s">
        <v>630</v>
      </c>
      <c r="I34" s="4" t="s">
        <v>631</v>
      </c>
      <c r="J34" s="4" t="s">
        <v>632</v>
      </c>
      <c r="K34" s="4" t="s">
        <v>633</v>
      </c>
      <c r="L34" s="4" t="s">
        <v>634</v>
      </c>
      <c r="M34" s="4" t="s">
        <v>635</v>
      </c>
      <c r="N34" s="4" t="s">
        <v>636</v>
      </c>
      <c r="O34" s="4" t="s">
        <v>636</v>
      </c>
      <c r="P34" s="4" t="s">
        <v>636</v>
      </c>
      <c r="Q34" s="4" t="s">
        <v>636</v>
      </c>
      <c r="R34" s="4" t="s">
        <v>637</v>
      </c>
      <c r="S34" s="4" t="s">
        <v>636</v>
      </c>
      <c r="T34" s="4" t="s">
        <v>401</v>
      </c>
      <c r="U34" s="4" t="s">
        <v>638</v>
      </c>
      <c r="V34" s="4" t="s">
        <v>639</v>
      </c>
      <c r="W34" s="4" t="s">
        <v>640</v>
      </c>
      <c r="X34" s="4" t="s">
        <v>641</v>
      </c>
      <c r="Y34" s="4" t="s">
        <v>642</v>
      </c>
      <c r="Z34" s="4" t="s">
        <v>643</v>
      </c>
      <c r="AA34" s="4" t="s">
        <v>70</v>
      </c>
      <c r="AB34" s="4" t="s">
        <v>644</v>
      </c>
      <c r="AC34" s="4" t="s">
        <v>645</v>
      </c>
      <c r="AD34" s="4" t="s">
        <v>646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spans="1:52" ht="64" customHeight="1">
      <c r="A35" s="4" t="s">
        <v>647</v>
      </c>
      <c r="B35" s="4" t="s">
        <v>144</v>
      </c>
      <c r="C35" s="4" t="s">
        <v>648</v>
      </c>
      <c r="D35" s="4" t="s">
        <v>649</v>
      </c>
      <c r="E35" s="4" t="s">
        <v>63</v>
      </c>
      <c r="F35" s="4" t="s">
        <v>650</v>
      </c>
      <c r="G35" s="4" t="s">
        <v>651</v>
      </c>
      <c r="H35" s="4" t="s">
        <v>652</v>
      </c>
      <c r="I35" s="4" t="s">
        <v>653</v>
      </c>
      <c r="J35" s="4" t="s">
        <v>635</v>
      </c>
      <c r="K35" s="4" t="s">
        <v>654</v>
      </c>
      <c r="L35" s="4" t="s">
        <v>655</v>
      </c>
      <c r="M35" s="4" t="s">
        <v>635</v>
      </c>
      <c r="N35" s="4" t="s">
        <v>636</v>
      </c>
      <c r="O35" s="4" t="s">
        <v>636</v>
      </c>
      <c r="P35" s="4" t="s">
        <v>636</v>
      </c>
      <c r="Q35" s="4" t="s">
        <v>636</v>
      </c>
      <c r="R35" s="4" t="s">
        <v>637</v>
      </c>
      <c r="S35" s="4" t="s">
        <v>636</v>
      </c>
      <c r="T35" s="4" t="s">
        <v>401</v>
      </c>
      <c r="U35" s="4" t="s">
        <v>638</v>
      </c>
      <c r="V35" s="4" t="s">
        <v>639</v>
      </c>
      <c r="W35" s="4" t="s">
        <v>640</v>
      </c>
      <c r="X35" s="4" t="s">
        <v>641</v>
      </c>
      <c r="Y35" s="4" t="s">
        <v>642</v>
      </c>
      <c r="Z35" s="4" t="s">
        <v>656</v>
      </c>
      <c r="AA35" s="4" t="s">
        <v>70</v>
      </c>
      <c r="AB35" s="4" t="s">
        <v>644</v>
      </c>
      <c r="AC35" s="4" t="s">
        <v>657</v>
      </c>
      <c r="AD35" s="4" t="s">
        <v>646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pans="1:52" ht="64" customHeight="1">
      <c r="A36" s="4" t="s">
        <v>658</v>
      </c>
      <c r="B36" s="4" t="s">
        <v>501</v>
      </c>
      <c r="C36" s="4" t="s">
        <v>659</v>
      </c>
      <c r="D36" s="4" t="s">
        <v>660</v>
      </c>
      <c r="E36" s="4" t="s">
        <v>63</v>
      </c>
      <c r="F36" s="4" t="s">
        <v>661</v>
      </c>
      <c r="G36" s="4" t="s">
        <v>662</v>
      </c>
      <c r="H36" s="4" t="s">
        <v>663</v>
      </c>
      <c r="I36" s="4" t="s">
        <v>495</v>
      </c>
      <c r="J36" s="4" t="s">
        <v>664</v>
      </c>
      <c r="K36" s="4" t="s">
        <v>665</v>
      </c>
      <c r="L36" s="4" t="s">
        <v>666</v>
      </c>
      <c r="M36" s="4" t="s">
        <v>636</v>
      </c>
      <c r="N36" s="4" t="s">
        <v>667</v>
      </c>
      <c r="O36" s="4"/>
      <c r="P36" s="4"/>
      <c r="Q36" s="4" t="s">
        <v>636</v>
      </c>
      <c r="R36" s="4" t="s">
        <v>637</v>
      </c>
      <c r="S36" s="4" t="s">
        <v>636</v>
      </c>
      <c r="T36" s="4" t="s">
        <v>401</v>
      </c>
      <c r="U36" s="4" t="s">
        <v>636</v>
      </c>
      <c r="V36" s="4" t="s">
        <v>668</v>
      </c>
      <c r="W36" s="4" t="s">
        <v>636</v>
      </c>
      <c r="X36" s="4" t="s">
        <v>669</v>
      </c>
      <c r="Y36" s="4" t="s">
        <v>642</v>
      </c>
      <c r="Z36" s="4" t="s">
        <v>670</v>
      </c>
      <c r="AA36" s="4" t="s">
        <v>71</v>
      </c>
      <c r="AB36" s="4" t="s">
        <v>644</v>
      </c>
      <c r="AC36" s="4" t="s">
        <v>671</v>
      </c>
      <c r="AD36" s="4" t="s">
        <v>646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pans="1:52" ht="64" customHeight="1">
      <c r="A37" s="4" t="s">
        <v>672</v>
      </c>
      <c r="B37" s="4" t="s">
        <v>144</v>
      </c>
      <c r="C37" s="4" t="s">
        <v>360</v>
      </c>
      <c r="D37" s="4" t="s">
        <v>673</v>
      </c>
      <c r="E37" s="4" t="s">
        <v>65</v>
      </c>
      <c r="F37" s="4" t="s">
        <v>674</v>
      </c>
      <c r="G37" s="4" t="s">
        <v>675</v>
      </c>
      <c r="H37" s="4" t="s">
        <v>676</v>
      </c>
      <c r="I37" s="4" t="s">
        <v>415</v>
      </c>
      <c r="J37" s="4" t="s">
        <v>677</v>
      </c>
      <c r="K37" s="4" t="s">
        <v>678</v>
      </c>
      <c r="L37" s="4" t="s">
        <v>679</v>
      </c>
      <c r="M37" s="4" t="s">
        <v>680</v>
      </c>
      <c r="N37" s="4" t="s">
        <v>168</v>
      </c>
      <c r="O37" s="4"/>
      <c r="P37" s="4"/>
      <c r="Q37" s="4" t="s">
        <v>681</v>
      </c>
      <c r="R37" s="4" t="s">
        <v>674</v>
      </c>
      <c r="S37" s="4" t="s">
        <v>682</v>
      </c>
      <c r="T37" s="4" t="s">
        <v>401</v>
      </c>
      <c r="U37" s="4" t="s">
        <v>683</v>
      </c>
      <c r="V37" s="4" t="s">
        <v>684</v>
      </c>
      <c r="W37" s="4" t="s">
        <v>685</v>
      </c>
      <c r="X37" s="4" t="s">
        <v>686</v>
      </c>
      <c r="Y37" s="4" t="s">
        <v>687</v>
      </c>
      <c r="Z37" s="4" t="s">
        <v>688</v>
      </c>
      <c r="AA37" s="4" t="s">
        <v>70</v>
      </c>
      <c r="AB37" s="4" t="s">
        <v>689</v>
      </c>
      <c r="AC37" s="4" t="s">
        <v>690</v>
      </c>
      <c r="AD37" s="4" t="s">
        <v>383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spans="1:52" ht="64" customHeight="1">
      <c r="A38" s="4" t="s">
        <v>691</v>
      </c>
      <c r="B38" s="4" t="s">
        <v>101</v>
      </c>
      <c r="C38" s="4" t="s">
        <v>360</v>
      </c>
      <c r="D38" s="4" t="s">
        <v>692</v>
      </c>
      <c r="E38" s="4" t="s">
        <v>65</v>
      </c>
      <c r="F38" s="4" t="s">
        <v>674</v>
      </c>
      <c r="G38" s="4" t="s">
        <v>693</v>
      </c>
      <c r="H38" s="4" t="s">
        <v>694</v>
      </c>
      <c r="I38" s="4" t="s">
        <v>415</v>
      </c>
      <c r="J38" s="4" t="s">
        <v>677</v>
      </c>
      <c r="K38" s="4" t="s">
        <v>695</v>
      </c>
      <c r="L38" s="4" t="s">
        <v>696</v>
      </c>
      <c r="M38" s="4" t="s">
        <v>680</v>
      </c>
      <c r="N38" s="4" t="s">
        <v>697</v>
      </c>
      <c r="O38" s="4"/>
      <c r="P38" s="4"/>
      <c r="Q38" s="4" t="s">
        <v>698</v>
      </c>
      <c r="R38" s="4" t="s">
        <v>674</v>
      </c>
      <c r="S38" s="4" t="s">
        <v>699</v>
      </c>
      <c r="T38" s="4" t="s">
        <v>401</v>
      </c>
      <c r="U38" s="4" t="s">
        <v>683</v>
      </c>
      <c r="V38" s="4" t="s">
        <v>700</v>
      </c>
      <c r="W38" s="4" t="s">
        <v>701</v>
      </c>
      <c r="X38" s="4" t="s">
        <v>702</v>
      </c>
      <c r="Y38" s="4" t="s">
        <v>703</v>
      </c>
      <c r="Z38" s="4" t="s">
        <v>704</v>
      </c>
      <c r="AA38" s="4" t="s">
        <v>69</v>
      </c>
      <c r="AB38" s="4" t="s">
        <v>705</v>
      </c>
      <c r="AC38" s="4" t="s">
        <v>706</v>
      </c>
      <c r="AD38" s="4" t="s">
        <v>383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spans="1:52" ht="64" customHeight="1">
      <c r="A39" s="4" t="s">
        <v>707</v>
      </c>
      <c r="B39" s="4" t="s">
        <v>101</v>
      </c>
      <c r="C39" s="4" t="s">
        <v>360</v>
      </c>
      <c r="D39" s="4" t="s">
        <v>708</v>
      </c>
      <c r="E39" s="4" t="s">
        <v>65</v>
      </c>
      <c r="F39" s="4" t="s">
        <v>709</v>
      </c>
      <c r="G39" s="4" t="s">
        <v>710</v>
      </c>
      <c r="H39" s="4" t="s">
        <v>711</v>
      </c>
      <c r="I39" s="4" t="s">
        <v>712</v>
      </c>
      <c r="J39" s="4" t="s">
        <v>713</v>
      </c>
      <c r="K39" s="4" t="s">
        <v>714</v>
      </c>
      <c r="L39" s="4" t="s">
        <v>715</v>
      </c>
      <c r="M39" s="4" t="s">
        <v>680</v>
      </c>
      <c r="N39" s="4" t="s">
        <v>561</v>
      </c>
      <c r="O39" s="4"/>
      <c r="P39" s="4"/>
      <c r="Q39" s="4" t="s">
        <v>716</v>
      </c>
      <c r="R39" s="4" t="s">
        <v>674</v>
      </c>
      <c r="S39" s="4" t="s">
        <v>699</v>
      </c>
      <c r="T39" s="4" t="s">
        <v>401</v>
      </c>
      <c r="U39" s="4" t="s">
        <v>683</v>
      </c>
      <c r="V39" s="4" t="s">
        <v>717</v>
      </c>
      <c r="W39" s="4" t="s">
        <v>701</v>
      </c>
      <c r="X39" s="4" t="s">
        <v>718</v>
      </c>
      <c r="Y39" s="4" t="s">
        <v>719</v>
      </c>
      <c r="Z39" s="4" t="s">
        <v>720</v>
      </c>
      <c r="AA39" s="4" t="s">
        <v>69</v>
      </c>
      <c r="AB39" s="4" t="s">
        <v>721</v>
      </c>
      <c r="AC39" s="4" t="s">
        <v>722</v>
      </c>
      <c r="AD39" s="4" t="s">
        <v>383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64" customHeight="1">
      <c r="A40" s="4" t="s">
        <v>723</v>
      </c>
      <c r="B40" s="4" t="s">
        <v>101</v>
      </c>
      <c r="C40" s="4" t="s">
        <v>360</v>
      </c>
      <c r="D40" s="4" t="s">
        <v>724</v>
      </c>
      <c r="E40" s="4" t="s">
        <v>65</v>
      </c>
      <c r="F40" s="4" t="s">
        <v>725</v>
      </c>
      <c r="G40" s="4" t="s">
        <v>726</v>
      </c>
      <c r="H40" s="4" t="s">
        <v>727</v>
      </c>
      <c r="I40" s="4" t="s">
        <v>728</v>
      </c>
      <c r="J40" s="4" t="s">
        <v>729</v>
      </c>
      <c r="K40" s="4" t="s">
        <v>730</v>
      </c>
      <c r="L40" s="4" t="s">
        <v>731</v>
      </c>
      <c r="M40" s="4" t="s">
        <v>732</v>
      </c>
      <c r="N40" s="4" t="s">
        <v>561</v>
      </c>
      <c r="O40" s="4"/>
      <c r="P40" s="4"/>
      <c r="Q40" s="4" t="s">
        <v>733</v>
      </c>
      <c r="R40" s="4" t="s">
        <v>725</v>
      </c>
      <c r="S40" s="4" t="s">
        <v>699</v>
      </c>
      <c r="T40" s="4" t="s">
        <v>401</v>
      </c>
      <c r="U40" s="4" t="s">
        <v>734</v>
      </c>
      <c r="V40" s="4" t="s">
        <v>735</v>
      </c>
      <c r="W40" s="4" t="s">
        <v>736</v>
      </c>
      <c r="X40" s="4" t="s">
        <v>737</v>
      </c>
      <c r="Y40" s="4" t="s">
        <v>1955</v>
      </c>
      <c r="Z40" s="4" t="s">
        <v>739</v>
      </c>
      <c r="AA40" s="4" t="s">
        <v>69</v>
      </c>
      <c r="AB40" s="4" t="s">
        <v>1956</v>
      </c>
      <c r="AC40" s="4" t="s">
        <v>741</v>
      </c>
      <c r="AD40" s="4" t="s">
        <v>383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1:52" ht="64" customHeight="1">
      <c r="A41" s="4" t="s">
        <v>742</v>
      </c>
      <c r="B41" s="4" t="s">
        <v>144</v>
      </c>
      <c r="C41" s="4" t="s">
        <v>360</v>
      </c>
      <c r="D41" s="4" t="s">
        <v>743</v>
      </c>
      <c r="E41" s="4" t="s">
        <v>65</v>
      </c>
      <c r="F41" s="4" t="s">
        <v>744</v>
      </c>
      <c r="G41" s="4" t="s">
        <v>745</v>
      </c>
      <c r="H41" s="4" t="s">
        <v>746</v>
      </c>
      <c r="I41" s="4" t="s">
        <v>747</v>
      </c>
      <c r="J41" s="4" t="s">
        <v>748</v>
      </c>
      <c r="K41" s="4" t="s">
        <v>749</v>
      </c>
      <c r="L41" s="4" t="s">
        <v>750</v>
      </c>
      <c r="M41" s="4" t="s">
        <v>680</v>
      </c>
      <c r="N41" s="4" t="s">
        <v>561</v>
      </c>
      <c r="O41" s="4"/>
      <c r="P41" s="4"/>
      <c r="Q41" s="4" t="s">
        <v>751</v>
      </c>
      <c r="R41" s="4" t="s">
        <v>752</v>
      </c>
      <c r="S41" s="4" t="s">
        <v>753</v>
      </c>
      <c r="T41" s="4" t="s">
        <v>401</v>
      </c>
      <c r="U41" s="4" t="s">
        <v>754</v>
      </c>
      <c r="V41" s="4" t="s">
        <v>755</v>
      </c>
      <c r="W41" s="4" t="s">
        <v>756</v>
      </c>
      <c r="X41" s="4" t="s">
        <v>757</v>
      </c>
      <c r="Y41" s="4" t="s">
        <v>758</v>
      </c>
      <c r="Z41" s="4" t="s">
        <v>759</v>
      </c>
      <c r="AA41" s="4" t="s">
        <v>70</v>
      </c>
      <c r="AB41" s="4" t="s">
        <v>760</v>
      </c>
      <c r="AC41" s="4" t="s">
        <v>761</v>
      </c>
      <c r="AD41" s="4" t="s">
        <v>383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spans="1:52" ht="64" customHeight="1">
      <c r="A42" s="4" t="s">
        <v>762</v>
      </c>
      <c r="B42" s="4" t="s">
        <v>101</v>
      </c>
      <c r="C42" s="4" t="s">
        <v>360</v>
      </c>
      <c r="D42" s="4" t="s">
        <v>763</v>
      </c>
      <c r="E42" s="4" t="s">
        <v>65</v>
      </c>
      <c r="F42" s="4" t="s">
        <v>764</v>
      </c>
      <c r="G42" s="4" t="s">
        <v>765</v>
      </c>
      <c r="H42" s="4" t="s">
        <v>766</v>
      </c>
      <c r="I42" s="4" t="s">
        <v>767</v>
      </c>
      <c r="J42" s="4" t="s">
        <v>768</v>
      </c>
      <c r="K42" s="4" t="s">
        <v>769</v>
      </c>
      <c r="L42" s="4" t="s">
        <v>770</v>
      </c>
      <c r="M42" s="4" t="s">
        <v>680</v>
      </c>
      <c r="N42" s="4" t="s">
        <v>561</v>
      </c>
      <c r="O42" s="4" t="s">
        <v>771</v>
      </c>
      <c r="P42" s="4"/>
      <c r="Q42" s="4" t="s">
        <v>772</v>
      </c>
      <c r="R42" s="4" t="s">
        <v>674</v>
      </c>
      <c r="S42" s="4" t="s">
        <v>699</v>
      </c>
      <c r="T42" s="4" t="s">
        <v>401</v>
      </c>
      <c r="U42" s="4" t="s">
        <v>683</v>
      </c>
      <c r="V42" s="4" t="s">
        <v>773</v>
      </c>
      <c r="W42" s="4" t="s">
        <v>701</v>
      </c>
      <c r="X42" s="4" t="s">
        <v>774</v>
      </c>
      <c r="Y42" s="4" t="s">
        <v>775</v>
      </c>
      <c r="Z42" s="4" t="s">
        <v>776</v>
      </c>
      <c r="AA42" s="4" t="s">
        <v>69</v>
      </c>
      <c r="AB42" s="4" t="s">
        <v>777</v>
      </c>
      <c r="AC42" s="4" t="s">
        <v>778</v>
      </c>
      <c r="AD42" s="4" t="s">
        <v>383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spans="1:52" ht="64" customHeight="1">
      <c r="A43" s="4" t="s">
        <v>779</v>
      </c>
      <c r="B43" s="4" t="s">
        <v>144</v>
      </c>
      <c r="C43" s="4" t="s">
        <v>360</v>
      </c>
      <c r="D43" s="4" t="s">
        <v>780</v>
      </c>
      <c r="E43" s="4" t="s">
        <v>65</v>
      </c>
      <c r="F43" s="4" t="s">
        <v>781</v>
      </c>
      <c r="G43" s="4" t="s">
        <v>782</v>
      </c>
      <c r="H43" s="4" t="s">
        <v>783</v>
      </c>
      <c r="I43" s="4" t="s">
        <v>784</v>
      </c>
      <c r="J43" s="4" t="s">
        <v>636</v>
      </c>
      <c r="K43" s="4" t="s">
        <v>785</v>
      </c>
      <c r="L43" s="4" t="s">
        <v>786</v>
      </c>
      <c r="M43" s="4" t="s">
        <v>787</v>
      </c>
      <c r="N43" s="4" t="s">
        <v>636</v>
      </c>
      <c r="O43" s="4"/>
      <c r="P43" s="4"/>
      <c r="Q43" s="4" t="s">
        <v>636</v>
      </c>
      <c r="R43" s="4" t="s">
        <v>781</v>
      </c>
      <c r="S43" s="4" t="s">
        <v>788</v>
      </c>
      <c r="T43" s="4" t="s">
        <v>789</v>
      </c>
      <c r="U43" s="4" t="s">
        <v>790</v>
      </c>
      <c r="V43" s="4" t="s">
        <v>791</v>
      </c>
      <c r="W43" s="4" t="s">
        <v>792</v>
      </c>
      <c r="X43" s="4" t="s">
        <v>793</v>
      </c>
      <c r="Y43" s="4" t="s">
        <v>794</v>
      </c>
      <c r="Z43" s="4" t="s">
        <v>795</v>
      </c>
      <c r="AA43" s="4" t="s">
        <v>70</v>
      </c>
      <c r="AB43" s="4" t="s">
        <v>796</v>
      </c>
      <c r="AC43" s="4" t="s">
        <v>797</v>
      </c>
      <c r="AD43" s="4" t="s">
        <v>383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 spans="1:52" ht="64" customHeight="1">
      <c r="A44" s="4" t="s">
        <v>798</v>
      </c>
      <c r="B44" s="4" t="s">
        <v>501</v>
      </c>
      <c r="C44" s="4" t="s">
        <v>799</v>
      </c>
      <c r="D44" s="4" t="s">
        <v>800</v>
      </c>
      <c r="E44" s="4" t="s">
        <v>65</v>
      </c>
      <c r="F44" s="4" t="s">
        <v>801</v>
      </c>
      <c r="G44" s="4" t="s">
        <v>802</v>
      </c>
      <c r="H44" s="4" t="s">
        <v>803</v>
      </c>
      <c r="I44" s="4" t="s">
        <v>804</v>
      </c>
      <c r="J44" s="4" t="s">
        <v>664</v>
      </c>
      <c r="K44" s="4" t="s">
        <v>805</v>
      </c>
      <c r="L44" s="4" t="s">
        <v>806</v>
      </c>
      <c r="M44" s="4" t="s">
        <v>664</v>
      </c>
      <c r="N44" s="4" t="s">
        <v>636</v>
      </c>
      <c r="O44" s="4"/>
      <c r="P44" s="4"/>
      <c r="Q44" s="4" t="s">
        <v>807</v>
      </c>
      <c r="R44" s="4" t="s">
        <v>808</v>
      </c>
      <c r="S44" s="4" t="s">
        <v>16</v>
      </c>
      <c r="T44" s="4" t="s">
        <v>401</v>
      </c>
      <c r="U44" s="4" t="s">
        <v>809</v>
      </c>
      <c r="V44" s="4" t="s">
        <v>810</v>
      </c>
      <c r="W44" s="4" t="s">
        <v>664</v>
      </c>
      <c r="X44" s="4" t="s">
        <v>811</v>
      </c>
      <c r="Y44" s="4" t="s">
        <v>812</v>
      </c>
      <c r="Z44" s="4" t="s">
        <v>813</v>
      </c>
      <c r="AA44" s="4" t="s">
        <v>70</v>
      </c>
      <c r="AB44" s="4" t="s">
        <v>814</v>
      </c>
      <c r="AC44" s="4" t="s">
        <v>815</v>
      </c>
      <c r="AD44" s="4" t="s">
        <v>816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 spans="1:52" ht="64" customHeight="1">
      <c r="A45" s="4" t="s">
        <v>817</v>
      </c>
      <c r="B45" s="4" t="s">
        <v>101</v>
      </c>
      <c r="C45" s="4" t="s">
        <v>818</v>
      </c>
      <c r="D45" s="4" t="s">
        <v>819</v>
      </c>
      <c r="E45" s="4" t="s">
        <v>64</v>
      </c>
      <c r="F45" s="4" t="s">
        <v>820</v>
      </c>
      <c r="G45" s="4" t="s">
        <v>821</v>
      </c>
      <c r="H45" s="4" t="s">
        <v>822</v>
      </c>
      <c r="I45" s="4" t="s">
        <v>823</v>
      </c>
      <c r="J45" s="4" t="s">
        <v>824</v>
      </c>
      <c r="K45" s="4" t="s">
        <v>221</v>
      </c>
      <c r="L45" s="4" t="s">
        <v>825</v>
      </c>
      <c r="M45" s="4" t="s">
        <v>221</v>
      </c>
      <c r="N45" s="4" t="s">
        <v>636</v>
      </c>
      <c r="O45" s="4" t="s">
        <v>636</v>
      </c>
      <c r="P45" s="4" t="s">
        <v>636</v>
      </c>
      <c r="Q45" s="4" t="s">
        <v>636</v>
      </c>
      <c r="R45" s="4" t="s">
        <v>826</v>
      </c>
      <c r="S45" s="4" t="s">
        <v>827</v>
      </c>
      <c r="T45" s="4" t="s">
        <v>401</v>
      </c>
      <c r="U45" s="4" t="s">
        <v>828</v>
      </c>
      <c r="V45" s="4" t="s">
        <v>829</v>
      </c>
      <c r="W45" s="4" t="s">
        <v>664</v>
      </c>
      <c r="X45" s="4" t="s">
        <v>427</v>
      </c>
      <c r="Y45" s="4" t="s">
        <v>830</v>
      </c>
      <c r="Z45" s="4" t="s">
        <v>831</v>
      </c>
      <c r="AA45" s="4" t="s">
        <v>69</v>
      </c>
      <c r="AB45" s="4" t="s">
        <v>832</v>
      </c>
      <c r="AC45" s="4" t="s">
        <v>833</v>
      </c>
      <c r="AD45" s="4" t="s">
        <v>834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 spans="1:52" ht="64" customHeight="1">
      <c r="A46" s="4" t="s">
        <v>835</v>
      </c>
      <c r="B46" s="4" t="s">
        <v>101</v>
      </c>
      <c r="C46" s="4" t="s">
        <v>836</v>
      </c>
      <c r="D46" s="4" t="s">
        <v>837</v>
      </c>
      <c r="E46" s="4" t="s">
        <v>64</v>
      </c>
      <c r="F46" s="4" t="s">
        <v>820</v>
      </c>
      <c r="G46" s="4" t="s">
        <v>838</v>
      </c>
      <c r="H46" s="4" t="s">
        <v>839</v>
      </c>
      <c r="I46" s="4" t="s">
        <v>840</v>
      </c>
      <c r="J46" s="4" t="s">
        <v>841</v>
      </c>
      <c r="K46" s="4" t="s">
        <v>842</v>
      </c>
      <c r="L46" s="4" t="s">
        <v>843</v>
      </c>
      <c r="M46" s="4" t="s">
        <v>221</v>
      </c>
      <c r="N46" s="4" t="s">
        <v>844</v>
      </c>
      <c r="O46" s="4" t="s">
        <v>636</v>
      </c>
      <c r="P46" s="4" t="s">
        <v>636</v>
      </c>
      <c r="Q46" s="4" t="s">
        <v>845</v>
      </c>
      <c r="R46" s="4" t="s">
        <v>826</v>
      </c>
      <c r="S46" s="4" t="s">
        <v>846</v>
      </c>
      <c r="T46" s="4" t="s">
        <v>401</v>
      </c>
      <c r="U46" s="4" t="s">
        <v>664</v>
      </c>
      <c r="V46" s="4" t="s">
        <v>847</v>
      </c>
      <c r="W46" s="4" t="s">
        <v>664</v>
      </c>
      <c r="X46" s="4" t="s">
        <v>848</v>
      </c>
      <c r="Y46" s="4" t="s">
        <v>849</v>
      </c>
      <c r="Z46" s="4" t="s">
        <v>850</v>
      </c>
      <c r="AA46" s="4" t="s">
        <v>69</v>
      </c>
      <c r="AB46" s="4" t="s">
        <v>851</v>
      </c>
      <c r="AC46" s="4" t="s">
        <v>852</v>
      </c>
      <c r="AD46" s="4" t="s">
        <v>646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 spans="1:52" ht="64" customHeight="1">
      <c r="A47" s="4" t="s">
        <v>853</v>
      </c>
      <c r="B47" s="4" t="s">
        <v>101</v>
      </c>
      <c r="C47" s="4" t="s">
        <v>854</v>
      </c>
      <c r="D47" s="4" t="s">
        <v>855</v>
      </c>
      <c r="E47" s="4" t="s">
        <v>64</v>
      </c>
      <c r="F47" s="4" t="s">
        <v>387</v>
      </c>
      <c r="G47" s="4" t="s">
        <v>856</v>
      </c>
      <c r="H47" s="4" t="s">
        <v>857</v>
      </c>
      <c r="I47" s="4" t="s">
        <v>823</v>
      </c>
      <c r="J47" s="4" t="s">
        <v>664</v>
      </c>
      <c r="K47" s="4" t="s">
        <v>221</v>
      </c>
      <c r="L47" s="4" t="s">
        <v>858</v>
      </c>
      <c r="M47" s="4" t="s">
        <v>221</v>
      </c>
      <c r="N47" s="4" t="s">
        <v>859</v>
      </c>
      <c r="O47" s="4" t="s">
        <v>860</v>
      </c>
      <c r="P47" s="4" t="s">
        <v>861</v>
      </c>
      <c r="Q47" s="4" t="s">
        <v>862</v>
      </c>
      <c r="R47" s="4" t="s">
        <v>422</v>
      </c>
      <c r="S47" s="4" t="s">
        <v>471</v>
      </c>
      <c r="T47" s="4" t="s">
        <v>401</v>
      </c>
      <c r="U47" s="4" t="s">
        <v>664</v>
      </c>
      <c r="V47" s="4" t="s">
        <v>847</v>
      </c>
      <c r="W47" s="4" t="s">
        <v>664</v>
      </c>
      <c r="X47" s="4" t="s">
        <v>863</v>
      </c>
      <c r="Y47" s="4" t="s">
        <v>864</v>
      </c>
      <c r="Z47" s="4" t="s">
        <v>865</v>
      </c>
      <c r="AA47" s="4" t="s">
        <v>69</v>
      </c>
      <c r="AB47" s="4" t="s">
        <v>866</v>
      </c>
      <c r="AC47" s="4" t="s">
        <v>867</v>
      </c>
      <c r="AD47" s="4" t="s">
        <v>868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 spans="1:52" ht="64" customHeight="1">
      <c r="A48" s="4" t="s">
        <v>869</v>
      </c>
      <c r="B48" s="4" t="s">
        <v>144</v>
      </c>
      <c r="C48" s="4" t="s">
        <v>870</v>
      </c>
      <c r="D48" s="4" t="s">
        <v>871</v>
      </c>
      <c r="E48" s="4" t="s">
        <v>64</v>
      </c>
      <c r="F48" s="4" t="s">
        <v>872</v>
      </c>
      <c r="G48" s="4" t="s">
        <v>873</v>
      </c>
      <c r="H48" s="4" t="s">
        <v>874</v>
      </c>
      <c r="I48" s="4" t="s">
        <v>875</v>
      </c>
      <c r="J48" s="4" t="s">
        <v>664</v>
      </c>
      <c r="K48" s="4" t="s">
        <v>876</v>
      </c>
      <c r="L48" s="4" t="s">
        <v>664</v>
      </c>
      <c r="M48" s="4" t="s">
        <v>664</v>
      </c>
      <c r="N48" s="4" t="s">
        <v>636</v>
      </c>
      <c r="O48" s="4" t="s">
        <v>636</v>
      </c>
      <c r="P48" s="4" t="s">
        <v>636</v>
      </c>
      <c r="Q48" s="4" t="s">
        <v>636</v>
      </c>
      <c r="R48" s="4" t="s">
        <v>877</v>
      </c>
      <c r="S48" s="4" t="s">
        <v>636</v>
      </c>
      <c r="T48" s="4" t="s">
        <v>401</v>
      </c>
      <c r="U48" s="4" t="s">
        <v>664</v>
      </c>
      <c r="V48" s="4" t="s">
        <v>847</v>
      </c>
      <c r="W48" s="4" t="s">
        <v>664</v>
      </c>
      <c r="X48" s="4" t="s">
        <v>878</v>
      </c>
      <c r="Y48" s="4" t="s">
        <v>879</v>
      </c>
      <c r="Z48" s="4" t="s">
        <v>880</v>
      </c>
      <c r="AA48" s="4" t="s">
        <v>70</v>
      </c>
      <c r="AB48" s="4" t="s">
        <v>881</v>
      </c>
      <c r="AC48" s="4" t="s">
        <v>882</v>
      </c>
      <c r="AD48" s="4" t="s">
        <v>646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 spans="1:52" ht="64" customHeight="1">
      <c r="A49" s="4" t="s">
        <v>883</v>
      </c>
      <c r="B49" s="4" t="s">
        <v>144</v>
      </c>
      <c r="C49" s="4" t="s">
        <v>884</v>
      </c>
      <c r="D49" s="4" t="s">
        <v>885</v>
      </c>
      <c r="E49" s="4" t="s">
        <v>64</v>
      </c>
      <c r="F49" s="4" t="s">
        <v>886</v>
      </c>
      <c r="G49" s="4" t="s">
        <v>887</v>
      </c>
      <c r="H49" s="4" t="s">
        <v>888</v>
      </c>
      <c r="I49" s="4" t="s">
        <v>889</v>
      </c>
      <c r="J49" s="4" t="s">
        <v>664</v>
      </c>
      <c r="K49" s="4" t="s">
        <v>890</v>
      </c>
      <c r="L49" s="4" t="s">
        <v>664</v>
      </c>
      <c r="M49" s="4" t="s">
        <v>664</v>
      </c>
      <c r="N49" s="4" t="s">
        <v>636</v>
      </c>
      <c r="O49" s="4" t="s">
        <v>636</v>
      </c>
      <c r="P49" s="4" t="s">
        <v>636</v>
      </c>
      <c r="Q49" s="4" t="s">
        <v>636</v>
      </c>
      <c r="R49" s="4" t="s">
        <v>664</v>
      </c>
      <c r="S49" s="4" t="s">
        <v>664</v>
      </c>
      <c r="T49" s="4" t="s">
        <v>401</v>
      </c>
      <c r="U49" s="4" t="s">
        <v>664</v>
      </c>
      <c r="V49" s="4" t="s">
        <v>891</v>
      </c>
      <c r="W49" s="4" t="s">
        <v>664</v>
      </c>
      <c r="X49" s="4" t="s">
        <v>892</v>
      </c>
      <c r="Y49" s="4" t="s">
        <v>893</v>
      </c>
      <c r="Z49" s="4" t="s">
        <v>894</v>
      </c>
      <c r="AA49" s="4" t="s">
        <v>70</v>
      </c>
      <c r="AB49" s="4" t="s">
        <v>644</v>
      </c>
      <c r="AC49" s="4" t="s">
        <v>895</v>
      </c>
      <c r="AD49" s="4" t="s">
        <v>646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 spans="1:52" ht="64" customHeight="1">
      <c r="A50" s="4" t="s">
        <v>896</v>
      </c>
      <c r="B50" s="4" t="s">
        <v>501</v>
      </c>
      <c r="C50" s="4" t="s">
        <v>897</v>
      </c>
      <c r="D50" s="4" t="s">
        <v>898</v>
      </c>
      <c r="E50" s="4" t="s">
        <v>64</v>
      </c>
      <c r="F50" s="4" t="s">
        <v>899</v>
      </c>
      <c r="G50" s="4" t="s">
        <v>900</v>
      </c>
      <c r="H50" s="4" t="s">
        <v>901</v>
      </c>
      <c r="I50" s="4" t="s">
        <v>902</v>
      </c>
      <c r="J50" s="4" t="s">
        <v>664</v>
      </c>
      <c r="K50" s="4" t="s">
        <v>903</v>
      </c>
      <c r="L50" s="4" t="s">
        <v>664</v>
      </c>
      <c r="M50" s="4" t="s">
        <v>664</v>
      </c>
      <c r="N50" s="4" t="s">
        <v>636</v>
      </c>
      <c r="O50" s="4" t="s">
        <v>636</v>
      </c>
      <c r="P50" s="4" t="s">
        <v>636</v>
      </c>
      <c r="Q50" s="4" t="s">
        <v>636</v>
      </c>
      <c r="R50" s="4" t="s">
        <v>664</v>
      </c>
      <c r="S50" s="4" t="s">
        <v>664</v>
      </c>
      <c r="T50" s="4" t="s">
        <v>401</v>
      </c>
      <c r="U50" s="4" t="s">
        <v>664</v>
      </c>
      <c r="V50" s="4" t="s">
        <v>847</v>
      </c>
      <c r="W50" s="4" t="s">
        <v>664</v>
      </c>
      <c r="X50" s="4" t="s">
        <v>904</v>
      </c>
      <c r="Y50" s="4" t="s">
        <v>879</v>
      </c>
      <c r="Z50" s="4" t="s">
        <v>905</v>
      </c>
      <c r="AA50" s="4" t="s">
        <v>71</v>
      </c>
      <c r="AB50" s="4" t="s">
        <v>881</v>
      </c>
      <c r="AC50" s="4" t="s">
        <v>906</v>
      </c>
      <c r="AD50" s="4" t="s">
        <v>646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 spans="1:52" ht="64" customHeight="1">
      <c r="A51" s="4" t="s">
        <v>907</v>
      </c>
      <c r="B51" s="4" t="s">
        <v>501</v>
      </c>
      <c r="C51" s="4" t="s">
        <v>908</v>
      </c>
      <c r="D51" s="4" t="s">
        <v>909</v>
      </c>
      <c r="E51" s="4" t="s">
        <v>64</v>
      </c>
      <c r="F51" s="4" t="s">
        <v>910</v>
      </c>
      <c r="G51" s="4" t="s">
        <v>911</v>
      </c>
      <c r="H51" s="4" t="s">
        <v>912</v>
      </c>
      <c r="I51" s="4" t="s">
        <v>913</v>
      </c>
      <c r="J51" s="4" t="s">
        <v>664</v>
      </c>
      <c r="K51" s="4" t="s">
        <v>221</v>
      </c>
      <c r="L51" s="4" t="s">
        <v>664</v>
      </c>
      <c r="M51" s="4" t="s">
        <v>664</v>
      </c>
      <c r="N51" s="4" t="s">
        <v>636</v>
      </c>
      <c r="O51" s="4" t="s">
        <v>636</v>
      </c>
      <c r="P51" s="4" t="s">
        <v>636</v>
      </c>
      <c r="Q51" s="4" t="s">
        <v>636</v>
      </c>
      <c r="R51" s="4" t="s">
        <v>664</v>
      </c>
      <c r="S51" s="4" t="s">
        <v>664</v>
      </c>
      <c r="T51" s="4" t="s">
        <v>401</v>
      </c>
      <c r="U51" s="4" t="s">
        <v>914</v>
      </c>
      <c r="V51" s="4" t="s">
        <v>915</v>
      </c>
      <c r="W51" s="4" t="s">
        <v>664</v>
      </c>
      <c r="X51" s="4" t="s">
        <v>916</v>
      </c>
      <c r="Y51" s="4" t="s">
        <v>879</v>
      </c>
      <c r="Z51" s="4" t="s">
        <v>917</v>
      </c>
      <c r="AA51" s="4" t="s">
        <v>71</v>
      </c>
      <c r="AB51" s="4" t="s">
        <v>881</v>
      </c>
      <c r="AC51" s="4" t="s">
        <v>918</v>
      </c>
      <c r="AD51" s="4" t="s">
        <v>646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 spans="1:52" ht="64" customHeight="1">
      <c r="A52" s="4" t="s">
        <v>919</v>
      </c>
      <c r="B52" s="4" t="s">
        <v>501</v>
      </c>
      <c r="C52" s="4" t="s">
        <v>920</v>
      </c>
      <c r="D52" s="4" t="s">
        <v>921</v>
      </c>
      <c r="E52" s="4" t="s">
        <v>64</v>
      </c>
      <c r="F52" s="4" t="s">
        <v>922</v>
      </c>
      <c r="G52" s="4" t="s">
        <v>923</v>
      </c>
      <c r="H52" s="4" t="s">
        <v>924</v>
      </c>
      <c r="I52" s="4" t="s">
        <v>823</v>
      </c>
      <c r="J52" s="4" t="s">
        <v>664</v>
      </c>
      <c r="K52" s="4" t="s">
        <v>925</v>
      </c>
      <c r="L52" s="4" t="s">
        <v>664</v>
      </c>
      <c r="M52" s="4" t="s">
        <v>664</v>
      </c>
      <c r="N52" s="4" t="s">
        <v>529</v>
      </c>
      <c r="O52" s="4"/>
      <c r="P52" s="4"/>
      <c r="Q52" s="4" t="s">
        <v>636</v>
      </c>
      <c r="R52" s="4" t="s">
        <v>664</v>
      </c>
      <c r="S52" s="4" t="s">
        <v>664</v>
      </c>
      <c r="T52" s="4" t="s">
        <v>401</v>
      </c>
      <c r="U52" s="4" t="s">
        <v>664</v>
      </c>
      <c r="V52" s="4" t="s">
        <v>847</v>
      </c>
      <c r="W52" s="4" t="s">
        <v>664</v>
      </c>
      <c r="X52" s="4" t="s">
        <v>669</v>
      </c>
      <c r="Y52" s="4" t="s">
        <v>926</v>
      </c>
      <c r="Z52" s="4" t="s">
        <v>927</v>
      </c>
      <c r="AA52" s="4" t="s">
        <v>71</v>
      </c>
      <c r="AB52" s="4" t="s">
        <v>881</v>
      </c>
      <c r="AC52" s="4" t="s">
        <v>928</v>
      </c>
      <c r="AD52" s="4" t="s">
        <v>646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 spans="1:52" ht="64" customHeight="1">
      <c r="A53" s="4" t="s">
        <v>929</v>
      </c>
      <c r="B53" s="4" t="s">
        <v>101</v>
      </c>
      <c r="C53" s="4" t="s">
        <v>930</v>
      </c>
      <c r="D53" s="4" t="s">
        <v>931</v>
      </c>
      <c r="E53" s="4" t="s">
        <v>62</v>
      </c>
      <c r="F53" s="4" t="s">
        <v>387</v>
      </c>
      <c r="G53" s="4" t="s">
        <v>932</v>
      </c>
      <c r="H53" s="4" t="s">
        <v>933</v>
      </c>
      <c r="I53" s="4" t="s">
        <v>934</v>
      </c>
      <c r="J53" s="4" t="s">
        <v>935</v>
      </c>
      <c r="K53" s="4" t="s">
        <v>936</v>
      </c>
      <c r="L53" s="4" t="s">
        <v>937</v>
      </c>
      <c r="M53" s="4" t="s">
        <v>938</v>
      </c>
      <c r="N53" s="4" t="s">
        <v>168</v>
      </c>
      <c r="O53" s="4" t="s">
        <v>545</v>
      </c>
      <c r="P53" s="4" t="s">
        <v>531</v>
      </c>
      <c r="Q53" s="4" t="s">
        <v>939</v>
      </c>
      <c r="R53" s="4" t="s">
        <v>387</v>
      </c>
      <c r="S53" s="4" t="s">
        <v>940</v>
      </c>
      <c r="T53" s="4" t="s">
        <v>401</v>
      </c>
      <c r="U53" s="4" t="s">
        <v>618</v>
      </c>
      <c r="V53" s="4" t="s">
        <v>941</v>
      </c>
      <c r="W53" s="4" t="s">
        <v>942</v>
      </c>
      <c r="X53" s="4" t="s">
        <v>943</v>
      </c>
      <c r="Y53" s="4" t="s">
        <v>944</v>
      </c>
      <c r="Z53" s="4" t="s">
        <v>945</v>
      </c>
      <c r="AA53" s="4" t="s">
        <v>68</v>
      </c>
      <c r="AB53" s="4" t="s">
        <v>946</v>
      </c>
      <c r="AC53" s="4" t="s">
        <v>947</v>
      </c>
      <c r="AD53" s="4" t="s">
        <v>948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 spans="1:52" ht="64" customHeight="1">
      <c r="A54" s="4" t="s">
        <v>949</v>
      </c>
      <c r="B54" s="4" t="s">
        <v>101</v>
      </c>
      <c r="C54" s="4" t="s">
        <v>950</v>
      </c>
      <c r="D54" s="4" t="s">
        <v>951</v>
      </c>
      <c r="E54" s="4" t="s">
        <v>62</v>
      </c>
      <c r="F54" s="4" t="s">
        <v>387</v>
      </c>
      <c r="G54" s="4" t="s">
        <v>952</v>
      </c>
      <c r="H54" s="4" t="s">
        <v>953</v>
      </c>
      <c r="I54" s="4" t="s">
        <v>954</v>
      </c>
      <c r="J54" s="4" t="s">
        <v>955</v>
      </c>
      <c r="K54" s="4" t="s">
        <v>936</v>
      </c>
      <c r="L54" s="4" t="s">
        <v>956</v>
      </c>
      <c r="M54" s="4" t="s">
        <v>938</v>
      </c>
      <c r="N54" s="4" t="s">
        <v>957</v>
      </c>
      <c r="O54" s="4" t="s">
        <v>636</v>
      </c>
      <c r="P54" s="4" t="s">
        <v>636</v>
      </c>
      <c r="Q54" s="4" t="s">
        <v>939</v>
      </c>
      <c r="R54" s="4" t="s">
        <v>387</v>
      </c>
      <c r="S54" s="4" t="s">
        <v>958</v>
      </c>
      <c r="T54" s="4" t="s">
        <v>401</v>
      </c>
      <c r="U54" s="4" t="s">
        <v>618</v>
      </c>
      <c r="V54" s="4" t="s">
        <v>959</v>
      </c>
      <c r="W54" s="4" t="s">
        <v>664</v>
      </c>
      <c r="X54" s="4" t="s">
        <v>960</v>
      </c>
      <c r="Y54" s="4" t="s">
        <v>961</v>
      </c>
      <c r="Z54" s="4" t="s">
        <v>962</v>
      </c>
      <c r="AA54" s="4" t="s">
        <v>69</v>
      </c>
      <c r="AB54" s="4" t="s">
        <v>963</v>
      </c>
      <c r="AC54" s="4" t="s">
        <v>964</v>
      </c>
      <c r="AD54" s="4" t="s">
        <v>965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 spans="1:52" ht="64" customHeight="1">
      <c r="A55" s="4" t="s">
        <v>966</v>
      </c>
      <c r="B55" s="4" t="s">
        <v>144</v>
      </c>
      <c r="C55" s="4" t="s">
        <v>967</v>
      </c>
      <c r="D55" s="4" t="s">
        <v>968</v>
      </c>
      <c r="E55" s="4" t="s">
        <v>62</v>
      </c>
      <c r="F55" s="4" t="s">
        <v>969</v>
      </c>
      <c r="G55" s="4" t="s">
        <v>970</v>
      </c>
      <c r="H55" s="4" t="s">
        <v>971</v>
      </c>
      <c r="I55" s="4" t="s">
        <v>954</v>
      </c>
      <c r="J55" s="4" t="s">
        <v>955</v>
      </c>
      <c r="K55" s="4" t="s">
        <v>936</v>
      </c>
      <c r="L55" s="4" t="s">
        <v>972</v>
      </c>
      <c r="M55" s="4" t="s">
        <v>938</v>
      </c>
      <c r="N55" s="4" t="s">
        <v>973</v>
      </c>
      <c r="O55" s="4" t="s">
        <v>636</v>
      </c>
      <c r="P55" s="4" t="s">
        <v>636</v>
      </c>
      <c r="Q55" s="4" t="s">
        <v>974</v>
      </c>
      <c r="R55" s="4" t="s">
        <v>975</v>
      </c>
      <c r="S55" s="4" t="s">
        <v>636</v>
      </c>
      <c r="T55" s="4" t="s">
        <v>401</v>
      </c>
      <c r="U55" s="4" t="s">
        <v>976</v>
      </c>
      <c r="V55" s="4" t="s">
        <v>977</v>
      </c>
      <c r="W55" s="4" t="s">
        <v>664</v>
      </c>
      <c r="X55" s="4" t="s">
        <v>978</v>
      </c>
      <c r="Y55" s="4" t="s">
        <v>979</v>
      </c>
      <c r="Z55" s="4" t="s">
        <v>980</v>
      </c>
      <c r="AA55" s="4" t="s">
        <v>69</v>
      </c>
      <c r="AB55" s="4" t="s">
        <v>981</v>
      </c>
      <c r="AC55" s="4" t="s">
        <v>982</v>
      </c>
      <c r="AD55" s="4" t="s">
        <v>983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 spans="1:52" ht="64" customHeight="1">
      <c r="A56" s="4" t="s">
        <v>984</v>
      </c>
      <c r="B56" s="4" t="s">
        <v>144</v>
      </c>
      <c r="C56" s="4" t="s">
        <v>985</v>
      </c>
      <c r="D56" s="4" t="s">
        <v>986</v>
      </c>
      <c r="E56" s="4" t="s">
        <v>62</v>
      </c>
      <c r="F56" s="4" t="s">
        <v>987</v>
      </c>
      <c r="G56" s="4" t="s">
        <v>988</v>
      </c>
      <c r="H56" s="4" t="s">
        <v>989</v>
      </c>
      <c r="I56" s="4" t="s">
        <v>934</v>
      </c>
      <c r="J56" s="4" t="s">
        <v>990</v>
      </c>
      <c r="K56" s="4" t="s">
        <v>991</v>
      </c>
      <c r="L56" s="4" t="s">
        <v>992</v>
      </c>
      <c r="M56" s="4" t="s">
        <v>993</v>
      </c>
      <c r="N56" s="4" t="s">
        <v>561</v>
      </c>
      <c r="O56" s="4"/>
      <c r="P56" s="4"/>
      <c r="Q56" s="4" t="s">
        <v>530</v>
      </c>
      <c r="R56" s="4" t="s">
        <v>994</v>
      </c>
      <c r="S56" s="4" t="s">
        <v>16</v>
      </c>
      <c r="T56" s="4" t="s">
        <v>401</v>
      </c>
      <c r="U56" s="4" t="s">
        <v>995</v>
      </c>
      <c r="V56" s="4" t="s">
        <v>996</v>
      </c>
      <c r="W56" s="4" t="s">
        <v>997</v>
      </c>
      <c r="X56" s="4" t="s">
        <v>998</v>
      </c>
      <c r="Y56" s="4" t="s">
        <v>999</v>
      </c>
      <c r="Z56" s="4" t="s">
        <v>1000</v>
      </c>
      <c r="AA56" s="4" t="s">
        <v>69</v>
      </c>
      <c r="AB56" s="4" t="s">
        <v>1001</v>
      </c>
      <c r="AC56" s="4" t="s">
        <v>1002</v>
      </c>
      <c r="AD56" s="4" t="s">
        <v>1003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 spans="1:52" ht="64" customHeight="1">
      <c r="A57" s="4" t="s">
        <v>1004</v>
      </c>
      <c r="B57" s="4" t="s">
        <v>144</v>
      </c>
      <c r="C57" s="4" t="s">
        <v>1005</v>
      </c>
      <c r="D57" s="4" t="s">
        <v>1006</v>
      </c>
      <c r="E57" s="4" t="s">
        <v>62</v>
      </c>
      <c r="F57" s="4" t="s">
        <v>1007</v>
      </c>
      <c r="G57" s="4" t="s">
        <v>1008</v>
      </c>
      <c r="H57" s="4" t="s">
        <v>1009</v>
      </c>
      <c r="I57" s="4" t="s">
        <v>934</v>
      </c>
      <c r="J57" s="4" t="s">
        <v>1010</v>
      </c>
      <c r="K57" s="4" t="s">
        <v>1011</v>
      </c>
      <c r="L57" s="4" t="s">
        <v>1012</v>
      </c>
      <c r="M57" s="4" t="s">
        <v>1013</v>
      </c>
      <c r="N57" s="4" t="s">
        <v>1014</v>
      </c>
      <c r="O57" s="4"/>
      <c r="P57" s="4"/>
      <c r="Q57" s="4" t="s">
        <v>1015</v>
      </c>
      <c r="R57" s="4" t="s">
        <v>1016</v>
      </c>
      <c r="S57" s="4" t="s">
        <v>16</v>
      </c>
      <c r="T57" s="4" t="s">
        <v>401</v>
      </c>
      <c r="U57" s="4" t="s">
        <v>664</v>
      </c>
      <c r="V57" s="4" t="s">
        <v>1017</v>
      </c>
      <c r="W57" s="4" t="s">
        <v>664</v>
      </c>
      <c r="X57" s="4" t="s">
        <v>1018</v>
      </c>
      <c r="Y57" s="4" t="s">
        <v>1019</v>
      </c>
      <c r="Z57" s="4" t="s">
        <v>1020</v>
      </c>
      <c r="AA57" s="4" t="s">
        <v>70</v>
      </c>
      <c r="AB57" s="4" t="s">
        <v>1021</v>
      </c>
      <c r="AC57" s="4" t="s">
        <v>1022</v>
      </c>
      <c r="AD57" s="4" t="s">
        <v>1023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 spans="1:52" ht="64" customHeight="1">
      <c r="A58" s="4" t="s">
        <v>1024</v>
      </c>
      <c r="B58" s="4" t="s">
        <v>144</v>
      </c>
      <c r="C58" s="4" t="s">
        <v>1025</v>
      </c>
      <c r="D58" s="4" t="s">
        <v>1026</v>
      </c>
      <c r="E58" s="4" t="s">
        <v>62</v>
      </c>
      <c r="F58" s="4" t="s">
        <v>1027</v>
      </c>
      <c r="G58" s="4" t="s">
        <v>1028</v>
      </c>
      <c r="H58" s="4" t="s">
        <v>1029</v>
      </c>
      <c r="I58" s="4" t="s">
        <v>934</v>
      </c>
      <c r="J58" s="4" t="s">
        <v>1030</v>
      </c>
      <c r="K58" s="4" t="s">
        <v>1031</v>
      </c>
      <c r="L58" s="4" t="s">
        <v>1032</v>
      </c>
      <c r="M58" s="4" t="s">
        <v>664</v>
      </c>
      <c r="N58" s="4" t="s">
        <v>561</v>
      </c>
      <c r="O58" s="4"/>
      <c r="P58" s="4"/>
      <c r="Q58" s="4" t="s">
        <v>397</v>
      </c>
      <c r="R58" s="4" t="s">
        <v>1033</v>
      </c>
      <c r="S58" s="4" t="s">
        <v>16</v>
      </c>
      <c r="T58" s="4" t="s">
        <v>401</v>
      </c>
      <c r="U58" s="4" t="s">
        <v>1034</v>
      </c>
      <c r="V58" s="4" t="s">
        <v>1035</v>
      </c>
      <c r="W58" s="4" t="s">
        <v>664</v>
      </c>
      <c r="X58" s="4" t="s">
        <v>1036</v>
      </c>
      <c r="Y58" s="4" t="s">
        <v>1037</v>
      </c>
      <c r="Z58" s="4" t="s">
        <v>1038</v>
      </c>
      <c r="AA58" s="4" t="s">
        <v>70</v>
      </c>
      <c r="AB58" s="4" t="s">
        <v>1039</v>
      </c>
      <c r="AC58" s="4" t="s">
        <v>1040</v>
      </c>
      <c r="AD58" s="4" t="s">
        <v>1041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 spans="1:52" ht="64" customHeight="1">
      <c r="A59" s="4" t="s">
        <v>1042</v>
      </c>
      <c r="B59" s="4" t="s">
        <v>144</v>
      </c>
      <c r="C59" s="4" t="s">
        <v>1043</v>
      </c>
      <c r="D59" s="4" t="s">
        <v>1044</v>
      </c>
      <c r="E59" s="4" t="s">
        <v>62</v>
      </c>
      <c r="F59" s="4" t="s">
        <v>1045</v>
      </c>
      <c r="G59" s="4" t="s">
        <v>1046</v>
      </c>
      <c r="H59" s="4" t="s">
        <v>1047</v>
      </c>
      <c r="I59" s="4" t="s">
        <v>934</v>
      </c>
      <c r="J59" s="4" t="s">
        <v>664</v>
      </c>
      <c r="K59" s="4" t="s">
        <v>221</v>
      </c>
      <c r="L59" s="4" t="s">
        <v>1048</v>
      </c>
      <c r="M59" s="4" t="s">
        <v>664</v>
      </c>
      <c r="N59" s="4">
        <v>700</v>
      </c>
      <c r="O59" s="4" t="s">
        <v>636</v>
      </c>
      <c r="P59" s="4" t="s">
        <v>636</v>
      </c>
      <c r="Q59" s="4" t="s">
        <v>1049</v>
      </c>
      <c r="R59" s="4" t="s">
        <v>1050</v>
      </c>
      <c r="S59" s="4" t="s">
        <v>16</v>
      </c>
      <c r="T59" s="4" t="s">
        <v>401</v>
      </c>
      <c r="U59" s="4" t="s">
        <v>664</v>
      </c>
      <c r="V59" s="4" t="s">
        <v>1051</v>
      </c>
      <c r="W59" s="4" t="s">
        <v>664</v>
      </c>
      <c r="X59" s="4" t="s">
        <v>1052</v>
      </c>
      <c r="Y59" s="4" t="s">
        <v>1053</v>
      </c>
      <c r="Z59" s="4" t="s">
        <v>1054</v>
      </c>
      <c r="AA59" s="4" t="s">
        <v>70</v>
      </c>
      <c r="AB59" s="4" t="s">
        <v>1954</v>
      </c>
      <c r="AC59" s="4" t="s">
        <v>1055</v>
      </c>
      <c r="AD59" s="4" t="s">
        <v>1056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 spans="1:52" ht="64" customHeight="1">
      <c r="A60" s="4" t="s">
        <v>1057</v>
      </c>
      <c r="B60" s="4" t="s">
        <v>501</v>
      </c>
      <c r="C60" s="4" t="s">
        <v>1058</v>
      </c>
      <c r="D60" s="4" t="s">
        <v>1059</v>
      </c>
      <c r="E60" s="4" t="s">
        <v>62</v>
      </c>
      <c r="F60" s="4" t="s">
        <v>1060</v>
      </c>
      <c r="G60" s="4" t="s">
        <v>1061</v>
      </c>
      <c r="H60" s="4" t="s">
        <v>1062</v>
      </c>
      <c r="I60" s="4" t="s">
        <v>934</v>
      </c>
      <c r="J60" s="4" t="s">
        <v>1063</v>
      </c>
      <c r="K60" s="4" t="s">
        <v>1064</v>
      </c>
      <c r="L60" s="4" t="s">
        <v>1065</v>
      </c>
      <c r="M60" s="4" t="s">
        <v>664</v>
      </c>
      <c r="N60" s="4" t="s">
        <v>1066</v>
      </c>
      <c r="O60" s="4"/>
      <c r="P60" s="4"/>
      <c r="Q60" s="4" t="s">
        <v>397</v>
      </c>
      <c r="R60" s="4" t="s">
        <v>1067</v>
      </c>
      <c r="S60" s="4" t="s">
        <v>16</v>
      </c>
      <c r="T60" s="4" t="s">
        <v>401</v>
      </c>
      <c r="U60" s="4" t="s">
        <v>1068</v>
      </c>
      <c r="V60" s="4" t="s">
        <v>1069</v>
      </c>
      <c r="W60" s="4" t="s">
        <v>664</v>
      </c>
      <c r="X60" s="4" t="s">
        <v>1070</v>
      </c>
      <c r="Y60" s="4" t="s">
        <v>1071</v>
      </c>
      <c r="Z60" s="4" t="s">
        <v>1072</v>
      </c>
      <c r="AA60" s="4" t="s">
        <v>71</v>
      </c>
      <c r="AB60" s="4" t="s">
        <v>1073</v>
      </c>
      <c r="AC60" s="4" t="s">
        <v>1074</v>
      </c>
      <c r="AD60" s="10" t="s">
        <v>1075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spans="1:52" ht="64" customHeight="1">
      <c r="A61" s="4" t="s">
        <v>1076</v>
      </c>
      <c r="B61" s="4" t="s">
        <v>144</v>
      </c>
      <c r="C61" s="4" t="s">
        <v>1077</v>
      </c>
      <c r="D61" s="4" t="s">
        <v>1078</v>
      </c>
      <c r="E61" s="4" t="s">
        <v>62</v>
      </c>
      <c r="F61" s="4" t="s">
        <v>1079</v>
      </c>
      <c r="G61" s="4" t="s">
        <v>1080</v>
      </c>
      <c r="H61" s="4" t="s">
        <v>1081</v>
      </c>
      <c r="I61" s="4" t="s">
        <v>1082</v>
      </c>
      <c r="J61" s="4" t="s">
        <v>955</v>
      </c>
      <c r="K61" s="4" t="s">
        <v>1083</v>
      </c>
      <c r="L61" s="4" t="s">
        <v>1084</v>
      </c>
      <c r="M61" s="4" t="s">
        <v>1084</v>
      </c>
      <c r="N61" s="4" t="s">
        <v>636</v>
      </c>
      <c r="O61" s="4"/>
      <c r="P61" s="4"/>
      <c r="Q61" s="4" t="s">
        <v>636</v>
      </c>
      <c r="R61" s="4" t="s">
        <v>1085</v>
      </c>
      <c r="S61" s="4" t="s">
        <v>16</v>
      </c>
      <c r="T61" s="4" t="s">
        <v>1086</v>
      </c>
      <c r="U61" s="4" t="s">
        <v>1087</v>
      </c>
      <c r="V61" s="4" t="s">
        <v>664</v>
      </c>
      <c r="W61" s="4" t="s">
        <v>664</v>
      </c>
      <c r="X61" s="4" t="s">
        <v>1088</v>
      </c>
      <c r="Y61" s="4" t="s">
        <v>1089</v>
      </c>
      <c r="Z61" s="4" t="s">
        <v>1090</v>
      </c>
      <c r="AA61" s="4" t="s">
        <v>70</v>
      </c>
      <c r="AB61" s="4" t="s">
        <v>644</v>
      </c>
      <c r="AC61" s="4" t="s">
        <v>1091</v>
      </c>
      <c r="AD61" s="4" t="s">
        <v>1092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 spans="1:52" ht="64" customHeight="1">
      <c r="A62" s="4" t="s">
        <v>1093</v>
      </c>
      <c r="B62" s="4" t="s">
        <v>101</v>
      </c>
      <c r="C62" s="4" t="s">
        <v>1094</v>
      </c>
      <c r="D62" s="4" t="s">
        <v>1095</v>
      </c>
      <c r="E62" s="4" t="s">
        <v>61</v>
      </c>
      <c r="F62" s="4" t="s">
        <v>987</v>
      </c>
      <c r="G62" s="4" t="s">
        <v>1096</v>
      </c>
      <c r="H62" s="4" t="s">
        <v>1097</v>
      </c>
      <c r="I62" s="4" t="s">
        <v>1098</v>
      </c>
      <c r="J62" s="4" t="s">
        <v>1099</v>
      </c>
      <c r="K62" s="4" t="s">
        <v>938</v>
      </c>
      <c r="L62" s="4" t="s">
        <v>1100</v>
      </c>
      <c r="M62" s="4" t="s">
        <v>664</v>
      </c>
      <c r="N62" s="4" t="s">
        <v>1101</v>
      </c>
      <c r="O62" s="4"/>
      <c r="P62" s="4"/>
      <c r="Q62" s="4" t="s">
        <v>530</v>
      </c>
      <c r="R62" s="4" t="s">
        <v>1102</v>
      </c>
      <c r="S62" s="4" t="s">
        <v>16</v>
      </c>
      <c r="T62" s="4" t="s">
        <v>401</v>
      </c>
      <c r="U62" s="4" t="s">
        <v>734</v>
      </c>
      <c r="V62" s="4" t="s">
        <v>1103</v>
      </c>
      <c r="W62" s="4" t="s">
        <v>1104</v>
      </c>
      <c r="X62" s="4" t="s">
        <v>1105</v>
      </c>
      <c r="Y62" s="4" t="s">
        <v>1106</v>
      </c>
      <c r="Z62" s="4" t="s">
        <v>1107</v>
      </c>
      <c r="AA62" s="4" t="s">
        <v>69</v>
      </c>
      <c r="AB62" s="4" t="s">
        <v>1108</v>
      </c>
      <c r="AC62" s="4" t="s">
        <v>1109</v>
      </c>
      <c r="AD62" s="4" t="s">
        <v>1110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 spans="1:52" ht="64" customHeight="1">
      <c r="A63" s="4" t="s">
        <v>1111</v>
      </c>
      <c r="B63" s="4" t="s">
        <v>101</v>
      </c>
      <c r="C63" s="4" t="s">
        <v>1112</v>
      </c>
      <c r="D63" s="4" t="s">
        <v>1113</v>
      </c>
      <c r="E63" s="4" t="s">
        <v>61</v>
      </c>
      <c r="F63" s="4" t="s">
        <v>987</v>
      </c>
      <c r="G63" s="4" t="s">
        <v>1114</v>
      </c>
      <c r="H63" s="4" t="s">
        <v>1115</v>
      </c>
      <c r="I63" s="4" t="s">
        <v>1116</v>
      </c>
      <c r="J63" s="4" t="s">
        <v>664</v>
      </c>
      <c r="K63" s="4" t="s">
        <v>938</v>
      </c>
      <c r="L63" s="4" t="s">
        <v>1117</v>
      </c>
      <c r="M63" s="4" t="s">
        <v>664</v>
      </c>
      <c r="N63" s="4" t="s">
        <v>561</v>
      </c>
      <c r="O63" s="4"/>
      <c r="P63" s="4"/>
      <c r="Q63" s="4" t="s">
        <v>939</v>
      </c>
      <c r="R63" s="4" t="s">
        <v>1033</v>
      </c>
      <c r="S63" s="4" t="s">
        <v>16</v>
      </c>
      <c r="T63" s="4" t="s">
        <v>401</v>
      </c>
      <c r="U63" s="4" t="s">
        <v>664</v>
      </c>
      <c r="V63" s="4" t="s">
        <v>1118</v>
      </c>
      <c r="W63" s="4" t="s">
        <v>1119</v>
      </c>
      <c r="X63" s="4" t="s">
        <v>1120</v>
      </c>
      <c r="Y63" s="4" t="s">
        <v>1121</v>
      </c>
      <c r="Z63" s="4" t="s">
        <v>1122</v>
      </c>
      <c r="AA63" s="4" t="s">
        <v>69</v>
      </c>
      <c r="AB63" s="4" t="s">
        <v>1123</v>
      </c>
      <c r="AC63" s="4" t="s">
        <v>1124</v>
      </c>
      <c r="AD63" s="4" t="s">
        <v>1125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 spans="1:52" ht="64" customHeight="1">
      <c r="A64" s="4" t="s">
        <v>1126</v>
      </c>
      <c r="B64" s="4" t="s">
        <v>144</v>
      </c>
      <c r="C64" s="4" t="s">
        <v>1127</v>
      </c>
      <c r="D64" s="4" t="s">
        <v>1128</v>
      </c>
      <c r="E64" s="4" t="s">
        <v>61</v>
      </c>
      <c r="F64" s="4" t="s">
        <v>1129</v>
      </c>
      <c r="G64" s="4" t="s">
        <v>1130</v>
      </c>
      <c r="H64" s="4" t="s">
        <v>1131</v>
      </c>
      <c r="I64" s="4" t="s">
        <v>1098</v>
      </c>
      <c r="J64" s="4" t="s">
        <v>664</v>
      </c>
      <c r="K64" s="4" t="s">
        <v>1132</v>
      </c>
      <c r="L64" s="4" t="s">
        <v>1133</v>
      </c>
      <c r="M64" s="4" t="s">
        <v>1134</v>
      </c>
      <c r="N64" s="4" t="s">
        <v>1135</v>
      </c>
      <c r="O64" s="4" t="s">
        <v>636</v>
      </c>
      <c r="P64" s="4" t="s">
        <v>636</v>
      </c>
      <c r="Q64" s="4" t="s">
        <v>530</v>
      </c>
      <c r="R64" s="4" t="s">
        <v>1129</v>
      </c>
      <c r="S64" s="4" t="s">
        <v>1136</v>
      </c>
      <c r="T64" s="4" t="s">
        <v>401</v>
      </c>
      <c r="U64" s="4" t="s">
        <v>1137</v>
      </c>
      <c r="V64" s="4" t="s">
        <v>1138</v>
      </c>
      <c r="W64" s="4" t="s">
        <v>1139</v>
      </c>
      <c r="X64" s="4" t="s">
        <v>1140</v>
      </c>
      <c r="Y64" s="4" t="s">
        <v>1141</v>
      </c>
      <c r="Z64" s="4" t="s">
        <v>1142</v>
      </c>
      <c r="AA64" s="4" t="s">
        <v>70</v>
      </c>
      <c r="AB64" s="4" t="s">
        <v>1143</v>
      </c>
      <c r="AC64" s="4" t="s">
        <v>1144</v>
      </c>
      <c r="AD64" s="4" t="s">
        <v>1145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 spans="1:52" ht="64" customHeight="1">
      <c r="A65" s="4" t="s">
        <v>1146</v>
      </c>
      <c r="B65" s="4" t="s">
        <v>101</v>
      </c>
      <c r="C65" s="4" t="s">
        <v>1147</v>
      </c>
      <c r="D65" s="4" t="s">
        <v>1148</v>
      </c>
      <c r="E65" s="4" t="s">
        <v>61</v>
      </c>
      <c r="F65" s="4" t="s">
        <v>1149</v>
      </c>
      <c r="G65" s="4" t="s">
        <v>1150</v>
      </c>
      <c r="H65" s="4" t="s">
        <v>1151</v>
      </c>
      <c r="I65" s="4" t="s">
        <v>1152</v>
      </c>
      <c r="J65" s="4" t="s">
        <v>664</v>
      </c>
      <c r="K65" s="4" t="s">
        <v>1153</v>
      </c>
      <c r="L65" s="4" t="s">
        <v>1154</v>
      </c>
      <c r="M65" s="4" t="s">
        <v>1155</v>
      </c>
      <c r="N65" s="4" t="s">
        <v>636</v>
      </c>
      <c r="O65" s="4" t="s">
        <v>636</v>
      </c>
      <c r="P65" s="4" t="s">
        <v>636</v>
      </c>
      <c r="Q65" s="4" t="s">
        <v>636</v>
      </c>
      <c r="R65" s="4" t="s">
        <v>1156</v>
      </c>
      <c r="S65" s="4" t="s">
        <v>1157</v>
      </c>
      <c r="T65" s="4" t="s">
        <v>1158</v>
      </c>
      <c r="U65" s="4" t="s">
        <v>1137</v>
      </c>
      <c r="V65" s="4" t="s">
        <v>1159</v>
      </c>
      <c r="W65" s="4" t="s">
        <v>1160</v>
      </c>
      <c r="X65" s="4" t="s">
        <v>1161</v>
      </c>
      <c r="Y65" s="4" t="s">
        <v>1162</v>
      </c>
      <c r="Z65" s="4" t="s">
        <v>1163</v>
      </c>
      <c r="AA65" s="4" t="s">
        <v>68</v>
      </c>
      <c r="AB65" s="4" t="s">
        <v>1164</v>
      </c>
      <c r="AC65" s="4" t="s">
        <v>1165</v>
      </c>
      <c r="AD65" s="4" t="s">
        <v>1166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 spans="1:52" ht="64" customHeight="1">
      <c r="A66" s="4" t="s">
        <v>1167</v>
      </c>
      <c r="B66" s="4" t="s">
        <v>144</v>
      </c>
      <c r="C66" s="4" t="s">
        <v>1168</v>
      </c>
      <c r="D66" s="4" t="s">
        <v>1169</v>
      </c>
      <c r="E66" s="4" t="s">
        <v>61</v>
      </c>
      <c r="F66" s="4" t="s">
        <v>1170</v>
      </c>
      <c r="G66" s="4" t="s">
        <v>1171</v>
      </c>
      <c r="H66" s="4" t="s">
        <v>1172</v>
      </c>
      <c r="I66" s="4" t="s">
        <v>1152</v>
      </c>
      <c r="J66" s="4" t="s">
        <v>664</v>
      </c>
      <c r="K66" s="4" t="s">
        <v>1173</v>
      </c>
      <c r="L66" s="4" t="s">
        <v>1174</v>
      </c>
      <c r="M66" s="4" t="s">
        <v>1155</v>
      </c>
      <c r="N66" s="4" t="s">
        <v>636</v>
      </c>
      <c r="O66" s="4" t="s">
        <v>636</v>
      </c>
      <c r="P66" s="4" t="s">
        <v>636</v>
      </c>
      <c r="Q66" s="4" t="s">
        <v>636</v>
      </c>
      <c r="R66" s="4" t="s">
        <v>1175</v>
      </c>
      <c r="S66" s="4" t="s">
        <v>1176</v>
      </c>
      <c r="T66" s="4" t="s">
        <v>401</v>
      </c>
      <c r="U66" s="4" t="s">
        <v>1137</v>
      </c>
      <c r="V66" s="4" t="s">
        <v>664</v>
      </c>
      <c r="W66" s="4" t="s">
        <v>664</v>
      </c>
      <c r="X66" s="4" t="s">
        <v>1177</v>
      </c>
      <c r="Y66" s="4" t="s">
        <v>1178</v>
      </c>
      <c r="Z66" s="4" t="s">
        <v>1179</v>
      </c>
      <c r="AA66" s="4" t="s">
        <v>70</v>
      </c>
      <c r="AB66" s="4" t="s">
        <v>1180</v>
      </c>
      <c r="AC66" s="4" t="s">
        <v>1181</v>
      </c>
      <c r="AD66" s="4" t="s">
        <v>1182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 spans="1:52" ht="64" customHeight="1">
      <c r="A67" s="4" t="s">
        <v>1183</v>
      </c>
      <c r="B67" s="4" t="s">
        <v>501</v>
      </c>
      <c r="C67" s="4" t="s">
        <v>1184</v>
      </c>
      <c r="D67" s="4" t="s">
        <v>1185</v>
      </c>
      <c r="E67" s="4" t="s">
        <v>61</v>
      </c>
      <c r="F67" s="4" t="s">
        <v>987</v>
      </c>
      <c r="G67" s="4" t="s">
        <v>1186</v>
      </c>
      <c r="H67" s="4" t="s">
        <v>1187</v>
      </c>
      <c r="I67" s="4" t="s">
        <v>1098</v>
      </c>
      <c r="J67" s="4" t="s">
        <v>1188</v>
      </c>
      <c r="K67" s="4" t="s">
        <v>1189</v>
      </c>
      <c r="L67" s="4" t="s">
        <v>1117</v>
      </c>
      <c r="M67" s="4" t="s">
        <v>664</v>
      </c>
      <c r="N67" s="4" t="s">
        <v>561</v>
      </c>
      <c r="O67" s="4"/>
      <c r="P67" s="4"/>
      <c r="Q67" s="4" t="s">
        <v>1190</v>
      </c>
      <c r="R67" s="4" t="s">
        <v>1033</v>
      </c>
      <c r="S67" s="4" t="s">
        <v>16</v>
      </c>
      <c r="T67" s="4" t="s">
        <v>401</v>
      </c>
      <c r="U67" s="4" t="s">
        <v>1191</v>
      </c>
      <c r="V67" s="4" t="s">
        <v>1192</v>
      </c>
      <c r="W67" s="4" t="s">
        <v>664</v>
      </c>
      <c r="X67" s="4" t="s">
        <v>1193</v>
      </c>
      <c r="Y67" s="4" t="s">
        <v>1194</v>
      </c>
      <c r="Z67" s="4" t="s">
        <v>1195</v>
      </c>
      <c r="AA67" s="4" t="s">
        <v>70</v>
      </c>
      <c r="AB67" s="4" t="s">
        <v>1073</v>
      </c>
      <c r="AC67" s="4" t="s">
        <v>1196</v>
      </c>
      <c r="AD67" s="4" t="s">
        <v>1197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 spans="1:52" ht="64" customHeight="1">
      <c r="A68" s="4" t="s">
        <v>1198</v>
      </c>
      <c r="B68" s="4" t="s">
        <v>501</v>
      </c>
      <c r="C68" s="4" t="s">
        <v>1199</v>
      </c>
      <c r="D68" s="4" t="s">
        <v>1200</v>
      </c>
      <c r="E68" s="4" t="s">
        <v>61</v>
      </c>
      <c r="F68" s="4" t="s">
        <v>1201</v>
      </c>
      <c r="G68" s="4" t="s">
        <v>1202</v>
      </c>
      <c r="H68" s="4" t="s">
        <v>1203</v>
      </c>
      <c r="I68" s="4" t="s">
        <v>1152</v>
      </c>
      <c r="J68" s="4" t="s">
        <v>664</v>
      </c>
      <c r="K68" s="4" t="s">
        <v>1204</v>
      </c>
      <c r="L68" s="4" t="s">
        <v>1205</v>
      </c>
      <c r="M68" s="4" t="s">
        <v>664</v>
      </c>
      <c r="N68" s="4" t="s">
        <v>636</v>
      </c>
      <c r="O68" s="4"/>
      <c r="P68" s="4"/>
      <c r="Q68" s="4" t="s">
        <v>530</v>
      </c>
      <c r="R68" s="4" t="s">
        <v>1206</v>
      </c>
      <c r="S68" s="4" t="s">
        <v>16</v>
      </c>
      <c r="T68" s="4" t="s">
        <v>401</v>
      </c>
      <c r="U68" s="4" t="s">
        <v>664</v>
      </c>
      <c r="V68" s="4" t="s">
        <v>1207</v>
      </c>
      <c r="W68" s="4" t="s">
        <v>664</v>
      </c>
      <c r="X68" s="4" t="s">
        <v>1208</v>
      </c>
      <c r="Y68" s="4" t="s">
        <v>1209</v>
      </c>
      <c r="Z68" s="4" t="s">
        <v>1210</v>
      </c>
      <c r="AA68" s="4" t="s">
        <v>71</v>
      </c>
      <c r="AB68" s="4" t="s">
        <v>1073</v>
      </c>
      <c r="AC68" s="4" t="s">
        <v>1211</v>
      </c>
      <c r="AD68" s="4" t="s">
        <v>1212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 spans="1:52" ht="64" customHeight="1">
      <c r="A69" s="4" t="s">
        <v>1213</v>
      </c>
      <c r="B69" s="4" t="s">
        <v>144</v>
      </c>
      <c r="C69" s="4" t="s">
        <v>1214</v>
      </c>
      <c r="D69" s="4" t="s">
        <v>1215</v>
      </c>
      <c r="E69" s="4" t="s">
        <v>61</v>
      </c>
      <c r="F69" s="4" t="s">
        <v>1216</v>
      </c>
      <c r="G69" s="4" t="s">
        <v>1217</v>
      </c>
      <c r="H69" s="4" t="s">
        <v>1218</v>
      </c>
      <c r="I69" s="4" t="s">
        <v>1219</v>
      </c>
      <c r="J69" s="4" t="s">
        <v>1220</v>
      </c>
      <c r="K69" s="4" t="s">
        <v>1221</v>
      </c>
      <c r="L69" s="4" t="s">
        <v>1222</v>
      </c>
      <c r="M69" s="4" t="s">
        <v>664</v>
      </c>
      <c r="N69" s="4" t="s">
        <v>1223</v>
      </c>
      <c r="O69" s="4"/>
      <c r="P69" s="4"/>
      <c r="Q69" s="4" t="s">
        <v>1224</v>
      </c>
      <c r="R69" s="4" t="s">
        <v>1225</v>
      </c>
      <c r="S69" s="4" t="s">
        <v>16</v>
      </c>
      <c r="T69" s="4" t="s">
        <v>401</v>
      </c>
      <c r="U69" s="4" t="s">
        <v>1226</v>
      </c>
      <c r="V69" s="4" t="s">
        <v>1227</v>
      </c>
      <c r="W69" s="4" t="s">
        <v>1228</v>
      </c>
      <c r="X69" s="4" t="s">
        <v>1229</v>
      </c>
      <c r="Y69" s="4" t="s">
        <v>1230</v>
      </c>
      <c r="Z69" s="4" t="s">
        <v>1231</v>
      </c>
      <c r="AA69" s="4" t="s">
        <v>69</v>
      </c>
      <c r="AB69" s="4" t="s">
        <v>1232</v>
      </c>
      <c r="AC69" s="4" t="s">
        <v>1233</v>
      </c>
      <c r="AD69" s="4" t="s">
        <v>1234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 spans="1:52" ht="64" customHeight="1">
      <c r="A70" s="4" t="s">
        <v>1235</v>
      </c>
      <c r="B70" s="4" t="s">
        <v>501</v>
      </c>
      <c r="C70" s="4" t="s">
        <v>1236</v>
      </c>
      <c r="D70" s="4" t="s">
        <v>1237</v>
      </c>
      <c r="E70" s="4" t="s">
        <v>61</v>
      </c>
      <c r="F70" s="4" t="s">
        <v>1033</v>
      </c>
      <c r="G70" s="4" t="s">
        <v>1238</v>
      </c>
      <c r="H70" s="4" t="s">
        <v>1239</v>
      </c>
      <c r="I70" s="4" t="s">
        <v>1240</v>
      </c>
      <c r="J70" s="4" t="s">
        <v>664</v>
      </c>
      <c r="K70" s="4" t="s">
        <v>1241</v>
      </c>
      <c r="L70" s="4" t="s">
        <v>1117</v>
      </c>
      <c r="M70" s="4" t="s">
        <v>664</v>
      </c>
      <c r="N70" s="4" t="s">
        <v>561</v>
      </c>
      <c r="O70" s="4"/>
      <c r="P70" s="4"/>
      <c r="Q70" s="4" t="s">
        <v>939</v>
      </c>
      <c r="R70" s="4" t="s">
        <v>1033</v>
      </c>
      <c r="S70" s="4" t="s">
        <v>16</v>
      </c>
      <c r="T70" s="4" t="s">
        <v>401</v>
      </c>
      <c r="U70" s="4" t="s">
        <v>664</v>
      </c>
      <c r="V70" s="4" t="s">
        <v>664</v>
      </c>
      <c r="W70" s="4" t="s">
        <v>664</v>
      </c>
      <c r="X70" s="4" t="s">
        <v>1242</v>
      </c>
      <c r="Y70" s="4" t="s">
        <v>1243</v>
      </c>
      <c r="Z70" s="4" t="s">
        <v>1244</v>
      </c>
      <c r="AA70" s="4" t="s">
        <v>71</v>
      </c>
      <c r="AB70" s="4" t="s">
        <v>1073</v>
      </c>
      <c r="AC70" s="4" t="s">
        <v>1245</v>
      </c>
      <c r="AD70" s="4" t="s">
        <v>1246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 spans="1:52" ht="64" customHeight="1">
      <c r="A71" s="4" t="s">
        <v>1247</v>
      </c>
      <c r="B71" s="4" t="s">
        <v>501</v>
      </c>
      <c r="C71" s="4" t="s">
        <v>1248</v>
      </c>
      <c r="D71" s="4" t="s">
        <v>1249</v>
      </c>
      <c r="E71" s="4" t="s">
        <v>61</v>
      </c>
      <c r="F71" s="4" t="s">
        <v>1033</v>
      </c>
      <c r="G71" s="4" t="s">
        <v>1250</v>
      </c>
      <c r="H71" s="4" t="s">
        <v>1251</v>
      </c>
      <c r="I71" s="4" t="s">
        <v>1152</v>
      </c>
      <c r="J71" s="4" t="s">
        <v>664</v>
      </c>
      <c r="K71" s="4" t="s">
        <v>1252</v>
      </c>
      <c r="L71" s="4" t="s">
        <v>1253</v>
      </c>
      <c r="M71" s="4" t="s">
        <v>664</v>
      </c>
      <c r="N71" s="4" t="s">
        <v>1066</v>
      </c>
      <c r="O71" s="4"/>
      <c r="P71" s="4"/>
      <c r="Q71" s="4" t="s">
        <v>530</v>
      </c>
      <c r="R71" s="4" t="s">
        <v>1033</v>
      </c>
      <c r="S71" s="4" t="s">
        <v>16</v>
      </c>
      <c r="T71" s="4" t="s">
        <v>401</v>
      </c>
      <c r="U71" s="4" t="s">
        <v>664</v>
      </c>
      <c r="V71" s="4" t="s">
        <v>1254</v>
      </c>
      <c r="W71" s="4" t="s">
        <v>1255</v>
      </c>
      <c r="X71" s="4" t="s">
        <v>1256</v>
      </c>
      <c r="Y71" s="4" t="s">
        <v>1257</v>
      </c>
      <c r="Z71" s="4" t="s">
        <v>1258</v>
      </c>
      <c r="AA71" s="4" t="s">
        <v>71</v>
      </c>
      <c r="AB71" s="4" t="s">
        <v>1073</v>
      </c>
      <c r="AC71" s="4" t="s">
        <v>1259</v>
      </c>
      <c r="AD71" s="4" t="s">
        <v>1260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 spans="1:52" ht="64" customHeight="1">
      <c r="A72" s="4" t="s">
        <v>1261</v>
      </c>
      <c r="B72" s="4" t="s">
        <v>101</v>
      </c>
      <c r="C72" s="4" t="s">
        <v>1262</v>
      </c>
      <c r="D72" s="4" t="s">
        <v>1263</v>
      </c>
      <c r="E72" s="4" t="s">
        <v>59</v>
      </c>
      <c r="F72" s="4" t="s">
        <v>1264</v>
      </c>
      <c r="G72" s="4" t="s">
        <v>1265</v>
      </c>
      <c r="H72" s="4" t="s">
        <v>1266</v>
      </c>
      <c r="I72" s="4" t="s">
        <v>1267</v>
      </c>
      <c r="J72" s="4" t="s">
        <v>1268</v>
      </c>
      <c r="K72" s="4" t="s">
        <v>1269</v>
      </c>
      <c r="L72" s="4" t="s">
        <v>1270</v>
      </c>
      <c r="M72" s="4" t="s">
        <v>1268</v>
      </c>
      <c r="N72" s="4" t="s">
        <v>635</v>
      </c>
      <c r="O72" s="4"/>
      <c r="P72" s="4"/>
      <c r="Q72" s="4" t="s">
        <v>635</v>
      </c>
      <c r="R72" s="4" t="s">
        <v>1271</v>
      </c>
      <c r="S72" s="4" t="s">
        <v>635</v>
      </c>
      <c r="T72" s="4" t="s">
        <v>1272</v>
      </c>
      <c r="U72" s="4" t="s">
        <v>635</v>
      </c>
      <c r="V72" s="4" t="s">
        <v>1273</v>
      </c>
      <c r="W72" s="4" t="s">
        <v>635</v>
      </c>
      <c r="X72" s="4" t="s">
        <v>1274</v>
      </c>
      <c r="Y72" s="4" t="s">
        <v>1275</v>
      </c>
      <c r="Z72" s="4" t="s">
        <v>1276</v>
      </c>
      <c r="AA72" s="4" t="s">
        <v>1277</v>
      </c>
      <c r="AB72" s="4" t="s">
        <v>1278</v>
      </c>
      <c r="AC72" s="4" t="s">
        <v>1279</v>
      </c>
      <c r="AD72" s="4" t="s">
        <v>1280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 spans="1:52" ht="64" customHeight="1">
      <c r="A73" s="4" t="s">
        <v>1281</v>
      </c>
      <c r="B73" s="4" t="s">
        <v>144</v>
      </c>
      <c r="C73" s="4" t="s">
        <v>1282</v>
      </c>
      <c r="D73" s="4" t="s">
        <v>1283</v>
      </c>
      <c r="E73" s="4" t="s">
        <v>59</v>
      </c>
      <c r="F73" s="4" t="s">
        <v>1284</v>
      </c>
      <c r="G73" s="4" t="s">
        <v>1285</v>
      </c>
      <c r="H73" s="4" t="s">
        <v>1286</v>
      </c>
      <c r="I73" s="4" t="s">
        <v>1267</v>
      </c>
      <c r="J73" s="4" t="s">
        <v>1268</v>
      </c>
      <c r="K73" s="4" t="s">
        <v>1287</v>
      </c>
      <c r="L73" s="4" t="s">
        <v>1268</v>
      </c>
      <c r="M73" s="4" t="s">
        <v>1268</v>
      </c>
      <c r="N73" s="4" t="s">
        <v>635</v>
      </c>
      <c r="O73" s="4"/>
      <c r="P73" s="4"/>
      <c r="Q73" s="4" t="s">
        <v>635</v>
      </c>
      <c r="R73" s="4" t="s">
        <v>635</v>
      </c>
      <c r="S73" s="4" t="s">
        <v>635</v>
      </c>
      <c r="T73" s="4" t="s">
        <v>635</v>
      </c>
      <c r="U73" s="4" t="s">
        <v>635</v>
      </c>
      <c r="V73" s="4" t="s">
        <v>1288</v>
      </c>
      <c r="W73" s="4" t="s">
        <v>635</v>
      </c>
      <c r="X73" s="4" t="s">
        <v>1289</v>
      </c>
      <c r="Y73" s="4" t="s">
        <v>1290</v>
      </c>
      <c r="Z73" s="4" t="s">
        <v>1291</v>
      </c>
      <c r="AA73" s="4" t="s">
        <v>70</v>
      </c>
      <c r="AB73" s="4" t="s">
        <v>1292</v>
      </c>
      <c r="AC73" s="4" t="s">
        <v>1293</v>
      </c>
      <c r="AD73" s="4" t="s">
        <v>1294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 spans="1:52" ht="64" customHeight="1">
      <c r="A74" s="4" t="s">
        <v>1295</v>
      </c>
      <c r="B74" s="4" t="s">
        <v>144</v>
      </c>
      <c r="C74" s="4" t="s">
        <v>1296</v>
      </c>
      <c r="D74" s="4" t="s">
        <v>1297</v>
      </c>
      <c r="E74" s="4" t="s">
        <v>66</v>
      </c>
      <c r="F74" s="4" t="s">
        <v>1298</v>
      </c>
      <c r="G74" s="4" t="s">
        <v>1296</v>
      </c>
      <c r="H74" s="4" t="s">
        <v>1299</v>
      </c>
      <c r="I74" s="4" t="s">
        <v>1300</v>
      </c>
      <c r="J74" s="4" t="s">
        <v>1301</v>
      </c>
      <c r="K74" s="4" t="s">
        <v>1302</v>
      </c>
      <c r="L74" s="4" t="s">
        <v>1303</v>
      </c>
      <c r="M74" s="4" t="s">
        <v>16</v>
      </c>
      <c r="N74" s="4" t="s">
        <v>635</v>
      </c>
      <c r="O74" s="4"/>
      <c r="P74" s="4"/>
      <c r="Q74" s="4" t="s">
        <v>16</v>
      </c>
      <c r="R74" s="4" t="s">
        <v>16</v>
      </c>
      <c r="S74" s="4" t="s">
        <v>16</v>
      </c>
      <c r="T74" s="4" t="s">
        <v>16</v>
      </c>
      <c r="U74" s="4" t="s">
        <v>16</v>
      </c>
      <c r="V74" s="4" t="s">
        <v>1304</v>
      </c>
      <c r="W74" s="4" t="s">
        <v>1305</v>
      </c>
      <c r="X74" s="4" t="s">
        <v>1306</v>
      </c>
      <c r="Y74" s="4" t="s">
        <v>1307</v>
      </c>
      <c r="Z74" s="4" t="s">
        <v>1308</v>
      </c>
      <c r="AA74" s="4" t="s">
        <v>1309</v>
      </c>
      <c r="AB74" s="4" t="s">
        <v>1310</v>
      </c>
      <c r="AC74" s="4" t="s">
        <v>1311</v>
      </c>
      <c r="AD74" s="4" t="s">
        <v>1312</v>
      </c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 spans="1:52" ht="64" customHeight="1">
      <c r="A75" s="4" t="s">
        <v>1313</v>
      </c>
      <c r="B75" s="4" t="s">
        <v>144</v>
      </c>
      <c r="C75" s="4" t="s">
        <v>1314</v>
      </c>
      <c r="D75" s="4" t="s">
        <v>1315</v>
      </c>
      <c r="E75" s="4" t="s">
        <v>66</v>
      </c>
      <c r="F75" s="4" t="s">
        <v>1316</v>
      </c>
      <c r="G75" s="4" t="s">
        <v>1314</v>
      </c>
      <c r="H75" s="4" t="s">
        <v>1317</v>
      </c>
      <c r="I75" s="4" t="s">
        <v>1318</v>
      </c>
      <c r="J75" s="4" t="s">
        <v>1319</v>
      </c>
      <c r="K75" s="4" t="s">
        <v>1320</v>
      </c>
      <c r="L75" s="4" t="s">
        <v>1303</v>
      </c>
      <c r="M75" s="4" t="s">
        <v>16</v>
      </c>
      <c r="N75" s="4" t="s">
        <v>635</v>
      </c>
      <c r="O75" s="4"/>
      <c r="P75" s="4"/>
      <c r="Q75" s="4" t="s">
        <v>16</v>
      </c>
      <c r="R75" s="4" t="s">
        <v>16</v>
      </c>
      <c r="S75" s="4" t="s">
        <v>16</v>
      </c>
      <c r="T75" s="4" t="s">
        <v>16</v>
      </c>
      <c r="U75" s="4" t="s">
        <v>16</v>
      </c>
      <c r="V75" s="4" t="s">
        <v>1321</v>
      </c>
      <c r="W75" s="4" t="s">
        <v>1322</v>
      </c>
      <c r="X75" s="4" t="s">
        <v>1323</v>
      </c>
      <c r="Y75" s="4" t="s">
        <v>881</v>
      </c>
      <c r="Z75" s="4" t="s">
        <v>1324</v>
      </c>
      <c r="AA75" s="4" t="s">
        <v>1309</v>
      </c>
      <c r="AB75" s="4" t="s">
        <v>1325</v>
      </c>
      <c r="AC75" s="4" t="s">
        <v>1326</v>
      </c>
      <c r="AD75" s="4" t="s">
        <v>1327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 spans="1:52" ht="64" customHeight="1">
      <c r="A76" s="4" t="s">
        <v>1328</v>
      </c>
      <c r="B76" s="4" t="s">
        <v>501</v>
      </c>
      <c r="C76" s="4" t="s">
        <v>1329</v>
      </c>
      <c r="D76" s="4" t="s">
        <v>1330</v>
      </c>
      <c r="E76" s="4" t="s">
        <v>59</v>
      </c>
      <c r="F76" s="4" t="s">
        <v>1331</v>
      </c>
      <c r="G76" s="4" t="s">
        <v>1332</v>
      </c>
      <c r="H76" s="4" t="s">
        <v>1333</v>
      </c>
      <c r="I76" s="4" t="s">
        <v>1334</v>
      </c>
      <c r="J76" s="4" t="s">
        <v>1335</v>
      </c>
      <c r="K76" s="4" t="s">
        <v>221</v>
      </c>
      <c r="L76" s="4" t="s">
        <v>1336</v>
      </c>
      <c r="M76" s="4" t="s">
        <v>664</v>
      </c>
      <c r="N76" s="4" t="s">
        <v>1337</v>
      </c>
      <c r="O76" s="4"/>
      <c r="P76" s="4"/>
      <c r="Q76" s="4" t="s">
        <v>1338</v>
      </c>
      <c r="R76" s="4" t="s">
        <v>664</v>
      </c>
      <c r="S76" s="4" t="s">
        <v>664</v>
      </c>
      <c r="T76" s="4" t="s">
        <v>401</v>
      </c>
      <c r="U76" s="4" t="s">
        <v>664</v>
      </c>
      <c r="V76" s="4" t="s">
        <v>664</v>
      </c>
      <c r="W76" s="4" t="s">
        <v>664</v>
      </c>
      <c r="X76" s="4" t="s">
        <v>1339</v>
      </c>
      <c r="Y76" s="4" t="s">
        <v>1340</v>
      </c>
      <c r="Z76" s="4" t="s">
        <v>1341</v>
      </c>
      <c r="AA76" s="4" t="s">
        <v>71</v>
      </c>
      <c r="AB76" s="4" t="s">
        <v>1342</v>
      </c>
      <c r="AC76" s="4" t="s">
        <v>1343</v>
      </c>
      <c r="AD76" s="4" t="s">
        <v>1344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 spans="1:52" ht="64" customHeight="1">
      <c r="A77" s="4" t="s">
        <v>1345</v>
      </c>
      <c r="B77" s="4" t="s">
        <v>101</v>
      </c>
      <c r="C77" s="4" t="s">
        <v>1346</v>
      </c>
      <c r="D77" s="4" t="s">
        <v>1347</v>
      </c>
      <c r="E77" s="4" t="s">
        <v>59</v>
      </c>
      <c r="F77" s="4" t="s">
        <v>1348</v>
      </c>
      <c r="G77" s="4" t="s">
        <v>1349</v>
      </c>
      <c r="H77" s="4" t="s">
        <v>1350</v>
      </c>
      <c r="I77" s="4" t="s">
        <v>1351</v>
      </c>
      <c r="J77" s="4" t="s">
        <v>1268</v>
      </c>
      <c r="K77" s="4" t="s">
        <v>1268</v>
      </c>
      <c r="L77" s="4" t="s">
        <v>1268</v>
      </c>
      <c r="M77" s="4" t="s">
        <v>1268</v>
      </c>
      <c r="N77" s="4" t="s">
        <v>635</v>
      </c>
      <c r="O77" s="4"/>
      <c r="P77" s="4"/>
      <c r="Q77" s="4" t="s">
        <v>635</v>
      </c>
      <c r="R77" s="4" t="s">
        <v>635</v>
      </c>
      <c r="S77" s="4" t="s">
        <v>635</v>
      </c>
      <c r="T77" s="4" t="s">
        <v>635</v>
      </c>
      <c r="U77" s="4" t="s">
        <v>635</v>
      </c>
      <c r="V77" s="4" t="s">
        <v>635</v>
      </c>
      <c r="W77" s="4" t="s">
        <v>635</v>
      </c>
      <c r="X77" s="4" t="s">
        <v>1352</v>
      </c>
      <c r="Y77" s="4" t="s">
        <v>1353</v>
      </c>
      <c r="Z77" s="4" t="s">
        <v>1354</v>
      </c>
      <c r="AA77" s="4" t="s">
        <v>1355</v>
      </c>
      <c r="AB77" s="4" t="s">
        <v>881</v>
      </c>
      <c r="AC77" s="4" t="s">
        <v>1356</v>
      </c>
      <c r="AD77" s="4" t="s">
        <v>646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 spans="1:52" ht="64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 spans="1:52" ht="64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 spans="1:52" ht="64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  <row r="81" spans="1:52" ht="64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</row>
    <row r="82" spans="1:52" ht="64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</row>
    <row r="83" spans="1:52" ht="64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</row>
    <row r="84" spans="1:52" ht="64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</row>
    <row r="85" spans="1:52" ht="64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</row>
    <row r="86" spans="1:52" ht="64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</row>
    <row r="87" spans="1:52" ht="64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</row>
    <row r="88" spans="1:52" ht="64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</row>
    <row r="89" spans="1:52" ht="64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</row>
    <row r="90" spans="1:52" ht="64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</row>
    <row r="91" spans="1:52" ht="64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</row>
    <row r="92" spans="1:52" ht="64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</row>
    <row r="93" spans="1:52" ht="64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</row>
    <row r="94" spans="1:52" ht="64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</row>
    <row r="95" spans="1:52" ht="64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</row>
    <row r="96" spans="1:52" ht="64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</row>
    <row r="97" spans="1:52" ht="64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</row>
    <row r="98" spans="1:52" ht="64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</row>
    <row r="99" spans="1:52" ht="64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</row>
    <row r="100" spans="1:52" ht="64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</row>
    <row r="101" spans="1:52" ht="64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</row>
    <row r="102" spans="1:52" ht="64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</row>
    <row r="103" spans="1:52" ht="64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</row>
    <row r="104" spans="1:52" ht="64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</row>
    <row r="105" spans="1:52" ht="64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 spans="1:52" ht="64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</row>
    <row r="107" spans="1:52" ht="64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</row>
    <row r="108" spans="1:52" ht="64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</row>
    <row r="109" spans="1:52" ht="64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</row>
    <row r="110" spans="1:52" ht="64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</row>
    <row r="111" spans="1:52" ht="64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</row>
    <row r="112" spans="1:52" ht="64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</row>
    <row r="113" spans="1:52" ht="64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</row>
    <row r="114" spans="1:52" ht="64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</row>
    <row r="115" spans="1:52" ht="64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</row>
    <row r="116" spans="1:52" ht="64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</row>
    <row r="117" spans="1:52" ht="64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</row>
    <row r="118" spans="1:52" ht="64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</row>
    <row r="119" spans="1:52" ht="64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</row>
    <row r="120" spans="1:52" ht="64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</row>
    <row r="121" spans="1:52" ht="64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</row>
    <row r="122" spans="1:52" ht="64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</row>
    <row r="123" spans="1:52" ht="64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</row>
    <row r="124" spans="1:52" ht="64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</row>
    <row r="125" spans="1:52" ht="64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</row>
    <row r="126" spans="1:52" ht="64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</row>
    <row r="127" spans="1:52" ht="64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</row>
    <row r="128" spans="1:52" ht="64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</row>
    <row r="129" spans="1:52" ht="64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</row>
    <row r="130" spans="1:52" ht="64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</row>
    <row r="131" spans="1:52" ht="64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</row>
    <row r="132" spans="1:52" ht="64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</row>
    <row r="133" spans="1:52" ht="64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</row>
    <row r="134" spans="1:52" ht="64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</row>
    <row r="135" spans="1:52" ht="64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</row>
    <row r="136" spans="1:52" ht="64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</row>
    <row r="137" spans="1:52" ht="64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</row>
    <row r="138" spans="1:52" ht="64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</row>
    <row r="139" spans="1:52" ht="64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</row>
    <row r="140" spans="1:52" ht="64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</row>
    <row r="141" spans="1:52" ht="64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</row>
    <row r="142" spans="1:52" ht="64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</row>
    <row r="143" spans="1:52" ht="64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</row>
    <row r="144" spans="1:52" ht="64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</row>
    <row r="145" spans="1:52" ht="64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</row>
    <row r="146" spans="1:52" ht="64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</row>
    <row r="147" spans="1:52" ht="64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</row>
    <row r="148" spans="1:52" ht="64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</row>
    <row r="149" spans="1:52" ht="64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</row>
    <row r="150" spans="1:52" ht="64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</row>
    <row r="151" spans="1:52" ht="64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</row>
    <row r="152" spans="1:52" ht="64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</row>
    <row r="153" spans="1:52" ht="64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</row>
    <row r="154" spans="1:52" ht="64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</row>
    <row r="155" spans="1:52" ht="64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</row>
    <row r="156" spans="1:52" ht="64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</row>
    <row r="157" spans="1:52" ht="64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</row>
    <row r="158" spans="1:52" ht="64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</row>
    <row r="159" spans="1:52" ht="64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</row>
    <row r="160" spans="1:52" ht="64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</row>
    <row r="161" spans="1:52" ht="64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</row>
    <row r="162" spans="1:52" ht="64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</row>
    <row r="163" spans="1:52" ht="64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</row>
    <row r="164" spans="1:52" ht="64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</row>
    <row r="165" spans="1:52" ht="64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</row>
    <row r="166" spans="1:52" ht="64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</row>
    <row r="167" spans="1:52" ht="64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</row>
    <row r="168" spans="1:52" ht="64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</row>
    <row r="169" spans="1:52" ht="64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</row>
    <row r="170" spans="1:52" ht="64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</row>
    <row r="171" spans="1:52" ht="64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</row>
    <row r="172" spans="1:52" ht="64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</row>
    <row r="173" spans="1:52" ht="64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</row>
    <row r="174" spans="1:52" ht="64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</row>
    <row r="175" spans="1:52" ht="64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</row>
    <row r="176" spans="1:52" ht="64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</row>
    <row r="177" spans="1:52" ht="64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</row>
    <row r="178" spans="1:52" ht="64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</row>
    <row r="179" spans="1:52" ht="64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</row>
    <row r="180" spans="1:52" ht="64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</row>
    <row r="181" spans="1:52" ht="64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</row>
    <row r="182" spans="1:52" ht="64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</row>
    <row r="183" spans="1:52" ht="64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</row>
    <row r="184" spans="1:52" ht="64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</row>
    <row r="185" spans="1:52" ht="64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</row>
    <row r="186" spans="1:52" ht="64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</row>
    <row r="187" spans="1:52" ht="64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</row>
    <row r="188" spans="1:52" ht="64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</row>
    <row r="189" spans="1:52" ht="64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</row>
    <row r="190" spans="1:52" ht="64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</row>
    <row r="191" spans="1:52" ht="64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</row>
    <row r="192" spans="1:52" ht="64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</row>
    <row r="193" spans="1:52" ht="64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</row>
    <row r="194" spans="1:52" ht="64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</row>
    <row r="195" spans="1:52" ht="64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</row>
    <row r="196" spans="1:52" ht="64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</row>
    <row r="197" spans="1:52" ht="64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</row>
    <row r="198" spans="1:52" ht="64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</row>
    <row r="199" spans="1:52" ht="64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</row>
    <row r="200" spans="1:52" ht="64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</row>
    <row r="201" spans="1:52" ht="64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</row>
    <row r="202" spans="1:52" ht="64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</row>
    <row r="203" spans="1:52" ht="64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</row>
    <row r="204" spans="1:52" ht="64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</row>
    <row r="205" spans="1:52" ht="64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</row>
    <row r="206" spans="1:52" ht="64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</row>
    <row r="207" spans="1:52" ht="64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</row>
    <row r="208" spans="1:52" ht="64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</row>
    <row r="209" spans="1:52" ht="64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</row>
    <row r="210" spans="1:52" ht="64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</row>
    <row r="211" spans="1:52" ht="64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</row>
    <row r="212" spans="1:52" ht="64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</row>
    <row r="213" spans="1:52" ht="64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</row>
    <row r="214" spans="1:52" ht="64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</row>
    <row r="215" spans="1:52" ht="64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</row>
    <row r="216" spans="1:52" ht="64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</row>
    <row r="217" spans="1:52" ht="64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</row>
    <row r="218" spans="1:52" ht="64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</row>
    <row r="219" spans="1:52" ht="64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</row>
    <row r="220" spans="1:52" ht="64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</row>
    <row r="221" spans="1:52" ht="64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</row>
    <row r="222" spans="1:52" ht="64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</row>
    <row r="223" spans="1:52" ht="64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</row>
    <row r="224" spans="1:52" ht="64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</row>
    <row r="225" spans="1:52" ht="64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</row>
    <row r="226" spans="1:52" ht="64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</row>
    <row r="227" spans="1:52" ht="64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</row>
    <row r="228" spans="1:52" ht="64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</row>
    <row r="229" spans="1:52" ht="64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</row>
    <row r="230" spans="1:52" ht="64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</row>
    <row r="231" spans="1:52" ht="64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</row>
    <row r="232" spans="1:52" ht="64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</row>
    <row r="233" spans="1:52" ht="64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</row>
    <row r="234" spans="1:52" ht="64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</row>
    <row r="235" spans="1:52" ht="64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</row>
    <row r="236" spans="1:52" ht="64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</row>
    <row r="237" spans="1:52" ht="64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</row>
    <row r="238" spans="1:52" ht="64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</row>
    <row r="239" spans="1:52" ht="64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</row>
    <row r="240" spans="1:52" ht="64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</row>
    <row r="241" spans="1:52" ht="64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</row>
    <row r="242" spans="1:52" ht="64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</row>
    <row r="243" spans="1:52" ht="64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</row>
    <row r="244" spans="1:52" ht="64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</row>
    <row r="245" spans="1:52" ht="64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</row>
    <row r="246" spans="1:52" ht="64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</row>
    <row r="247" spans="1:52" ht="64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</row>
    <row r="248" spans="1:52" ht="64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</row>
    <row r="249" spans="1:52" ht="64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</row>
    <row r="250" spans="1:52" ht="64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</row>
    <row r="251" spans="1:52" ht="64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</row>
    <row r="252" spans="1:52" ht="64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</row>
    <row r="253" spans="1:52" ht="64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</row>
    <row r="254" spans="1:52" ht="64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</row>
    <row r="255" spans="1:52" ht="64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</row>
    <row r="256" spans="1:52" ht="64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</row>
    <row r="257" spans="1:52" ht="64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</row>
    <row r="258" spans="1:52" ht="64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</row>
    <row r="259" spans="1:52" ht="64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</row>
    <row r="260" spans="1:52" ht="64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</row>
    <row r="261" spans="1:52" ht="64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</row>
    <row r="262" spans="1:52" ht="64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</row>
    <row r="263" spans="1:52" ht="64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</row>
    <row r="264" spans="1:52" ht="64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</row>
    <row r="265" spans="1:52" ht="64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</row>
    <row r="266" spans="1:52" ht="64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</row>
    <row r="267" spans="1:52" ht="64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</row>
    <row r="268" spans="1:52" ht="64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</row>
    <row r="269" spans="1:52" ht="64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</row>
    <row r="270" spans="1:52" ht="64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</row>
    <row r="271" spans="1:52" ht="64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</row>
    <row r="272" spans="1:52" ht="64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</row>
    <row r="273" spans="1:52" ht="64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</row>
    <row r="274" spans="1:52" ht="64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</row>
    <row r="275" spans="1:52" ht="64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</row>
    <row r="276" spans="1:52" ht="64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</row>
    <row r="277" spans="1:52" ht="64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</row>
    <row r="278" spans="1:52" ht="64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</row>
    <row r="279" spans="1:52" ht="64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</row>
    <row r="280" spans="1:52" ht="64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</row>
    <row r="281" spans="1:52" ht="64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</row>
    <row r="282" spans="1:52" ht="64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</row>
    <row r="283" spans="1:52" ht="64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</row>
    <row r="284" spans="1:52" ht="64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</row>
    <row r="285" spans="1:52" ht="64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</row>
    <row r="286" spans="1:52" ht="64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</row>
    <row r="287" spans="1:52" ht="64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</row>
    <row r="288" spans="1:52" ht="64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</row>
    <row r="289" spans="1:52" ht="64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</row>
    <row r="290" spans="1:52" ht="64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</row>
    <row r="291" spans="1:52" ht="64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</row>
    <row r="292" spans="1:52" ht="64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</row>
    <row r="293" spans="1:52" ht="64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</row>
    <row r="294" spans="1:52" ht="64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</row>
    <row r="295" spans="1:52" ht="64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</row>
    <row r="296" spans="1:52" ht="64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</row>
    <row r="297" spans="1:52" ht="64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</row>
    <row r="298" spans="1:52" ht="64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</row>
    <row r="299" spans="1:52" ht="64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</row>
    <row r="300" spans="1:52" ht="64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</row>
    <row r="301" spans="1:52" ht="64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</row>
    <row r="302" spans="1:52" ht="64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</row>
    <row r="303" spans="1:52" ht="64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</row>
    <row r="304" spans="1:52" ht="64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</row>
    <row r="305" spans="1:52" ht="64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</row>
    <row r="306" spans="1:52" ht="64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</row>
    <row r="307" spans="1:52" ht="64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</row>
    <row r="308" spans="1:52" ht="64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</row>
    <row r="309" spans="1:52" ht="64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</row>
    <row r="310" spans="1:52" ht="64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</row>
    <row r="311" spans="1:52" ht="64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</row>
    <row r="312" spans="1:52" ht="64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</row>
    <row r="313" spans="1:52" ht="64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</row>
    <row r="314" spans="1:52" ht="64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</row>
    <row r="315" spans="1:52" ht="64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</row>
    <row r="316" spans="1:52" ht="64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</row>
    <row r="317" spans="1:52" ht="64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</row>
    <row r="318" spans="1:52" ht="64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</row>
    <row r="319" spans="1:52" ht="64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</row>
    <row r="320" spans="1:52" ht="64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</row>
    <row r="321" spans="1:52" ht="64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</row>
    <row r="322" spans="1:52" ht="64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</row>
    <row r="323" spans="1:52" ht="64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</row>
    <row r="324" spans="1:52" ht="64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</row>
    <row r="325" spans="1:52" ht="64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</row>
    <row r="326" spans="1:52" ht="64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</row>
    <row r="327" spans="1:52" ht="64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</row>
    <row r="328" spans="1:52" ht="64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</row>
    <row r="329" spans="1:52" ht="64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</row>
    <row r="330" spans="1:52" ht="64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</row>
    <row r="331" spans="1:52" ht="64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</row>
    <row r="332" spans="1:52" ht="64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</row>
    <row r="333" spans="1:52" ht="64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</row>
    <row r="334" spans="1:52" ht="64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</row>
    <row r="335" spans="1:52" ht="64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</row>
    <row r="336" spans="1:52" ht="64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</row>
    <row r="337" spans="1:52" ht="64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</row>
    <row r="338" spans="1:52" ht="64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</row>
    <row r="339" spans="1:52" ht="64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</row>
    <row r="340" spans="1:52" ht="64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</row>
    <row r="341" spans="1:52" ht="64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</row>
    <row r="342" spans="1:52" ht="64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</row>
    <row r="343" spans="1:52" ht="64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</row>
    <row r="344" spans="1:52" ht="64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</row>
    <row r="345" spans="1:52" ht="64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</row>
    <row r="346" spans="1:52" ht="64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</row>
    <row r="347" spans="1:52" ht="64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</row>
    <row r="348" spans="1:52" ht="64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</row>
    <row r="349" spans="1:52" ht="64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</row>
    <row r="350" spans="1:52" ht="64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</row>
    <row r="351" spans="1:52" ht="64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</row>
    <row r="352" spans="1:52" ht="64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</row>
    <row r="353" spans="1:52" ht="64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</row>
    <row r="354" spans="1:52" ht="64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</row>
    <row r="355" spans="1:52" ht="64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</row>
    <row r="356" spans="1:52" ht="64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</row>
    <row r="357" spans="1:52" ht="64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</row>
    <row r="358" spans="1:52" ht="64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</row>
    <row r="359" spans="1:52" ht="64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</row>
    <row r="360" spans="1:52" ht="64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</row>
    <row r="361" spans="1:52" ht="64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</row>
    <row r="362" spans="1:52" ht="64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</row>
    <row r="363" spans="1:52" ht="64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</row>
    <row r="364" spans="1:52" ht="64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</row>
    <row r="365" spans="1:52" ht="64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</row>
    <row r="366" spans="1:52" ht="64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</row>
    <row r="367" spans="1:52" ht="64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</row>
    <row r="368" spans="1:52" ht="64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</row>
    <row r="369" spans="1:52" ht="64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</row>
    <row r="370" spans="1:52" ht="64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</row>
    <row r="371" spans="1:52" ht="64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</row>
    <row r="372" spans="1:52" ht="64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</row>
    <row r="373" spans="1:52" ht="64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</row>
    <row r="374" spans="1:52" ht="64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</row>
    <row r="375" spans="1:52" ht="64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</row>
    <row r="376" spans="1:52" ht="64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</row>
    <row r="377" spans="1:52" ht="64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</row>
    <row r="378" spans="1:52" ht="64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</row>
    <row r="379" spans="1:52" ht="64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</row>
    <row r="380" spans="1:52" ht="64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</row>
    <row r="381" spans="1:52" ht="64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</row>
    <row r="382" spans="1:52" ht="64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</row>
    <row r="383" spans="1:52" ht="64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</row>
    <row r="384" spans="1:52" ht="64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</row>
    <row r="385" spans="1:52" ht="64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</row>
    <row r="386" spans="1:52" ht="64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</row>
    <row r="387" spans="1:52" ht="64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</row>
    <row r="388" spans="1:52" ht="64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</row>
    <row r="389" spans="1:52" ht="64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</row>
    <row r="390" spans="1:52" ht="64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</row>
    <row r="391" spans="1:52" ht="64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</row>
    <row r="392" spans="1:52" ht="64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</row>
    <row r="393" spans="1:52" ht="64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</row>
    <row r="394" spans="1:52" ht="64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</row>
    <row r="395" spans="1:52" ht="64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</row>
    <row r="396" spans="1:52" ht="64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</row>
    <row r="397" spans="1:52" ht="64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</row>
    <row r="398" spans="1:52" ht="64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</row>
    <row r="399" spans="1:52" ht="64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</row>
    <row r="400" spans="1:52" ht="64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</row>
    <row r="401" spans="1:52" ht="64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</row>
    <row r="402" spans="1:52" ht="64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</row>
    <row r="403" spans="1:52" ht="64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</row>
    <row r="404" spans="1:52" ht="64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</row>
    <row r="405" spans="1:52" ht="64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</row>
    <row r="406" spans="1:52" ht="64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</row>
    <row r="407" spans="1:52" ht="64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</row>
    <row r="408" spans="1:52" ht="64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</row>
    <row r="409" spans="1:52" ht="64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</row>
    <row r="410" spans="1:52" ht="64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</row>
    <row r="411" spans="1:52" ht="64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</row>
    <row r="412" spans="1:52" ht="64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</row>
    <row r="413" spans="1:52" ht="64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</row>
    <row r="414" spans="1:52" ht="64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</row>
    <row r="415" spans="1:52" ht="64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</row>
    <row r="416" spans="1:52" ht="64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</row>
    <row r="417" spans="1:52" ht="64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</row>
    <row r="418" spans="1:52" ht="64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</row>
    <row r="419" spans="1:52" ht="64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</row>
    <row r="420" spans="1:52" ht="64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</row>
    <row r="421" spans="1:52" ht="64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</row>
    <row r="422" spans="1:52" ht="64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</row>
    <row r="423" spans="1:52" ht="64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</row>
    <row r="424" spans="1:52" ht="64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</row>
    <row r="425" spans="1:52" ht="64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</row>
    <row r="426" spans="1:52" ht="64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</row>
    <row r="427" spans="1:52" ht="64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</row>
    <row r="428" spans="1:52" ht="64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</row>
    <row r="429" spans="1:52" ht="64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</row>
    <row r="430" spans="1:52" ht="64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</row>
    <row r="431" spans="1:52" ht="64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</row>
    <row r="432" spans="1:52" ht="64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</row>
    <row r="433" spans="1:52" ht="64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</row>
    <row r="434" spans="1:52" ht="64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</row>
    <row r="435" spans="1:52" ht="64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</row>
    <row r="436" spans="1:52" ht="64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</row>
    <row r="437" spans="1:52" ht="64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</row>
    <row r="438" spans="1:52" ht="64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</row>
    <row r="439" spans="1:52" ht="64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</row>
    <row r="440" spans="1:52" ht="64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</row>
    <row r="441" spans="1:52" ht="64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</row>
    <row r="442" spans="1:52" ht="64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</row>
    <row r="443" spans="1:52" ht="64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</row>
    <row r="444" spans="1:52" ht="64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</row>
    <row r="445" spans="1:52" ht="64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</row>
    <row r="446" spans="1:52" ht="64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</row>
    <row r="447" spans="1:52" ht="64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</row>
    <row r="448" spans="1:52" ht="64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</row>
    <row r="449" spans="1:52" ht="64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</row>
    <row r="450" spans="1:52" ht="64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</row>
    <row r="451" spans="1:52" ht="64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</row>
    <row r="452" spans="1:52" ht="64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</row>
    <row r="453" spans="1:52" ht="64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</row>
    <row r="454" spans="1:52" ht="64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</row>
    <row r="455" spans="1:52" ht="64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</row>
    <row r="456" spans="1:52" ht="64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</row>
    <row r="457" spans="1:52" ht="64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</row>
    <row r="458" spans="1:52" ht="64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</row>
    <row r="459" spans="1:52" ht="64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</row>
    <row r="460" spans="1:52" ht="64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</row>
    <row r="461" spans="1:52" ht="64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</row>
    <row r="462" spans="1:52" ht="64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</row>
    <row r="463" spans="1:52" ht="64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</row>
    <row r="464" spans="1:52" ht="64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</row>
    <row r="465" spans="1:52" ht="64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</row>
    <row r="466" spans="1:52" ht="64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</row>
    <row r="467" spans="1:52" ht="64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</row>
    <row r="468" spans="1:52" ht="64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</row>
    <row r="469" spans="1:52" ht="64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</row>
    <row r="470" spans="1:52" ht="64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</row>
    <row r="471" spans="1:52" ht="64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</row>
    <row r="472" spans="1:52" ht="64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</row>
    <row r="473" spans="1:52" ht="64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</row>
    <row r="474" spans="1:52" ht="64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</row>
    <row r="475" spans="1:52" ht="64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</row>
    <row r="476" spans="1:52" ht="64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</row>
    <row r="477" spans="1:52" ht="64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</row>
    <row r="478" spans="1:52" ht="64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</row>
    <row r="479" spans="1:52" ht="64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</row>
    <row r="480" spans="1:52" ht="64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</row>
    <row r="481" spans="1:52" ht="64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</row>
    <row r="482" spans="1:52" ht="64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</row>
    <row r="483" spans="1:52" ht="64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</row>
    <row r="484" spans="1:52" ht="64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</row>
    <row r="485" spans="1:52" ht="64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</row>
    <row r="486" spans="1:52" ht="64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</row>
    <row r="487" spans="1:52" ht="64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</row>
    <row r="488" spans="1:52" ht="64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</row>
    <row r="489" spans="1:52" ht="64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</row>
    <row r="490" spans="1:52" ht="64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</row>
    <row r="491" spans="1:52" ht="64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</row>
    <row r="492" spans="1:52" ht="64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</row>
    <row r="493" spans="1:52" ht="64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</row>
    <row r="494" spans="1:52" ht="64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</row>
    <row r="495" spans="1:52" ht="64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</row>
    <row r="496" spans="1:52" ht="64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</row>
    <row r="497" spans="1:52" ht="64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</row>
    <row r="498" spans="1:52" ht="64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</row>
    <row r="499" spans="1:52" ht="64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</row>
    <row r="500" spans="1:52" ht="64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</row>
    <row r="501" spans="1:52" ht="64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</row>
    <row r="502" spans="1:52" ht="64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</row>
    <row r="503" spans="1:52" ht="64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</row>
    <row r="504" spans="1:52" ht="64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</row>
    <row r="505" spans="1:52" ht="64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</row>
    <row r="506" spans="1:52" ht="64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</row>
    <row r="507" spans="1:52" ht="64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</row>
    <row r="508" spans="1:52" ht="64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</row>
    <row r="509" spans="1:52" ht="64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</row>
    <row r="510" spans="1:52" ht="64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</row>
    <row r="511" spans="1:52" ht="64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</row>
    <row r="512" spans="1:52" ht="64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</row>
    <row r="513" spans="1:52" ht="64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</row>
    <row r="514" spans="1:52" ht="64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</row>
    <row r="515" spans="1:52" ht="64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</row>
    <row r="516" spans="1:52" ht="64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</row>
    <row r="517" spans="1:52" ht="64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</row>
    <row r="518" spans="1:52" ht="64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</row>
    <row r="519" spans="1:52" ht="64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</row>
    <row r="520" spans="1:52" ht="64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</row>
    <row r="521" spans="1:52" ht="64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</row>
    <row r="522" spans="1:52" ht="64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</row>
    <row r="523" spans="1:52" ht="64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</row>
    <row r="524" spans="1:52" ht="64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</row>
    <row r="525" spans="1:52" ht="64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</row>
    <row r="526" spans="1:52" ht="64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</row>
    <row r="527" spans="1:52" ht="64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</row>
    <row r="528" spans="1:52" ht="64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</row>
    <row r="529" spans="1:52" ht="64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</row>
    <row r="530" spans="1:52" ht="64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</row>
    <row r="531" spans="1:52" ht="64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</row>
    <row r="532" spans="1:52" ht="64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</row>
    <row r="533" spans="1:52" ht="64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</row>
    <row r="534" spans="1:52" ht="64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</row>
    <row r="535" spans="1:52" ht="64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</row>
    <row r="536" spans="1:52" ht="64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</row>
    <row r="537" spans="1:52" ht="64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</row>
    <row r="538" spans="1:52" ht="64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</row>
    <row r="539" spans="1:52" ht="64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</row>
    <row r="540" spans="1:52" ht="64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</row>
    <row r="541" spans="1:52" ht="64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</row>
    <row r="542" spans="1:52" ht="64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</row>
    <row r="543" spans="1:52" ht="64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</row>
    <row r="544" spans="1:52" ht="64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</row>
    <row r="545" spans="1:52" ht="64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</row>
    <row r="546" spans="1:52" ht="64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</row>
    <row r="547" spans="1:52" ht="64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</row>
    <row r="548" spans="1:52" ht="64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</row>
    <row r="549" spans="1:52" ht="64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</row>
    <row r="550" spans="1:52" ht="64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</row>
    <row r="551" spans="1:52" ht="64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</row>
    <row r="552" spans="1:52" ht="64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</row>
    <row r="553" spans="1:52" ht="64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</row>
    <row r="554" spans="1:52" ht="64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</row>
    <row r="555" spans="1:52" ht="64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</row>
    <row r="556" spans="1:52" ht="64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</row>
    <row r="557" spans="1:52" ht="64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</row>
    <row r="558" spans="1:52" ht="64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</row>
    <row r="559" spans="1:52" ht="64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</row>
    <row r="560" spans="1:52" ht="64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</row>
    <row r="561" spans="1:52" ht="64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</row>
    <row r="562" spans="1:52" ht="64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</row>
    <row r="563" spans="1:52" ht="64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</row>
    <row r="564" spans="1:52" ht="64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</row>
    <row r="565" spans="1:52" ht="64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</row>
    <row r="566" spans="1:52" ht="64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</row>
    <row r="567" spans="1:52" ht="64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</row>
    <row r="568" spans="1:52" ht="64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</row>
    <row r="569" spans="1:52" ht="64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</row>
    <row r="570" spans="1:52" ht="64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</row>
    <row r="571" spans="1:52" ht="64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</row>
    <row r="572" spans="1:52" ht="64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</row>
    <row r="573" spans="1:52" ht="64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</row>
    <row r="574" spans="1:52" ht="64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</row>
    <row r="575" spans="1:52" ht="64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</row>
    <row r="576" spans="1:52" ht="64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</row>
    <row r="577" spans="1:52" ht="64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</row>
    <row r="578" spans="1:52" ht="64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</row>
    <row r="579" spans="1:52" ht="64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</row>
    <row r="580" spans="1:52" ht="64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</row>
    <row r="581" spans="1:52" ht="64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</row>
    <row r="582" spans="1:52" ht="64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</row>
    <row r="583" spans="1:52" ht="64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</row>
    <row r="584" spans="1:52" ht="64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</row>
    <row r="585" spans="1:52" ht="64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</row>
    <row r="586" spans="1:52" ht="64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</row>
    <row r="587" spans="1:52" ht="64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</row>
    <row r="588" spans="1:52" ht="64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</row>
    <row r="589" spans="1:52" ht="64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</row>
    <row r="590" spans="1:52" ht="64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</row>
    <row r="591" spans="1:52" ht="64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</row>
    <row r="592" spans="1:52" ht="64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</row>
    <row r="593" spans="1:52" ht="64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</row>
    <row r="594" spans="1:52" ht="64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</row>
    <row r="595" spans="1:52" ht="64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</row>
    <row r="596" spans="1:52" ht="64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</row>
    <row r="597" spans="1:52" ht="64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</row>
    <row r="598" spans="1:52" ht="64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</row>
    <row r="599" spans="1:52" ht="64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</row>
    <row r="600" spans="1:52" ht="64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</row>
    <row r="601" spans="1:52" ht="64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</row>
    <row r="602" spans="1:52" ht="64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</row>
    <row r="603" spans="1:52" ht="64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</row>
    <row r="604" spans="1:52" ht="64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</row>
    <row r="605" spans="1:52" ht="64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</row>
    <row r="606" spans="1:52" ht="64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</row>
    <row r="607" spans="1:52" ht="64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</row>
    <row r="608" spans="1:52" ht="64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</row>
    <row r="609" spans="1:52" ht="64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</row>
    <row r="610" spans="1:52" ht="64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</row>
    <row r="611" spans="1:52" ht="64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</row>
    <row r="612" spans="1:52" ht="64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</row>
    <row r="613" spans="1:52" ht="64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</row>
    <row r="614" spans="1:52" ht="64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</row>
    <row r="615" spans="1:52" ht="64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</row>
    <row r="616" spans="1:52" ht="64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</row>
    <row r="617" spans="1:52" ht="64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</row>
    <row r="618" spans="1:52" ht="64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</row>
    <row r="619" spans="1:52" ht="64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</row>
    <row r="620" spans="1:52" ht="64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</row>
    <row r="621" spans="1:52" ht="64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</row>
    <row r="622" spans="1:52" ht="64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</row>
    <row r="623" spans="1:52" ht="64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</row>
    <row r="624" spans="1:52" ht="64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</row>
    <row r="625" spans="1:52" ht="64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</row>
    <row r="626" spans="1:52" ht="64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</row>
    <row r="627" spans="1:52" ht="64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</row>
    <row r="628" spans="1:52" ht="64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</row>
    <row r="629" spans="1:52" ht="64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</row>
    <row r="630" spans="1:52" ht="64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</row>
    <row r="631" spans="1:52" ht="64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</row>
    <row r="632" spans="1:52" ht="64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</row>
    <row r="633" spans="1:52" ht="64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</row>
    <row r="634" spans="1:52" ht="64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</row>
    <row r="635" spans="1:52" ht="64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</row>
    <row r="636" spans="1:52" ht="64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</row>
    <row r="637" spans="1:52" ht="64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</row>
    <row r="638" spans="1:52" ht="64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</row>
    <row r="639" spans="1:52" ht="64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</row>
    <row r="640" spans="1:52" ht="64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</row>
    <row r="641" spans="1:52" ht="64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</row>
    <row r="642" spans="1:52" ht="64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</row>
    <row r="643" spans="1:52" ht="64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</row>
    <row r="644" spans="1:52" ht="64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</row>
    <row r="645" spans="1:52" ht="64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</row>
    <row r="646" spans="1:52" ht="64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</row>
    <row r="647" spans="1:52" ht="64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</row>
    <row r="648" spans="1:52" ht="64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</row>
    <row r="649" spans="1:52" ht="64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</row>
    <row r="650" spans="1:52" ht="64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</row>
    <row r="651" spans="1:52" ht="64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</row>
    <row r="652" spans="1:52" ht="64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</row>
    <row r="653" spans="1:52" ht="64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</row>
    <row r="654" spans="1:52" ht="64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</row>
    <row r="655" spans="1:52" ht="64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</row>
    <row r="656" spans="1:52" ht="64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</row>
    <row r="657" spans="1:52" ht="64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</row>
    <row r="658" spans="1:52" ht="64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</row>
    <row r="659" spans="1:52" ht="64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</row>
    <row r="660" spans="1:52" ht="64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</row>
    <row r="661" spans="1:52" ht="64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</row>
    <row r="662" spans="1:52" ht="64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</row>
    <row r="663" spans="1:52" ht="64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</row>
    <row r="664" spans="1:52" ht="64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</row>
    <row r="665" spans="1:52" ht="64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</row>
    <row r="666" spans="1:52" ht="64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</row>
    <row r="667" spans="1:52" ht="64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</row>
    <row r="668" spans="1:52" ht="64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</row>
    <row r="669" spans="1:52" ht="64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</row>
    <row r="670" spans="1:52" ht="64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</row>
    <row r="671" spans="1:52" ht="64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</row>
    <row r="672" spans="1:52" ht="64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</row>
    <row r="673" spans="1:52" ht="64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</row>
    <row r="674" spans="1:52" ht="64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</row>
    <row r="675" spans="1:52" ht="64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</row>
    <row r="676" spans="1:52" ht="64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</row>
    <row r="677" spans="1:52" ht="64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</row>
    <row r="678" spans="1:52" ht="64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</row>
    <row r="679" spans="1:52" ht="64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</row>
    <row r="680" spans="1:52" ht="64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</row>
    <row r="681" spans="1:52" ht="64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</row>
    <row r="682" spans="1:52" ht="64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</row>
    <row r="683" spans="1:52" ht="64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</row>
    <row r="684" spans="1:52" ht="64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</row>
    <row r="685" spans="1:52" ht="64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</row>
    <row r="686" spans="1:52" ht="64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</row>
    <row r="687" spans="1:52" ht="64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</row>
    <row r="688" spans="1:52" ht="64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</row>
    <row r="689" spans="1:52" ht="64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</row>
    <row r="690" spans="1:52" ht="64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</row>
    <row r="691" spans="1:52" ht="64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</row>
    <row r="692" spans="1:52" ht="64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</row>
    <row r="693" spans="1:52" ht="64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</row>
    <row r="694" spans="1:52" ht="64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</row>
    <row r="695" spans="1:52" ht="64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</row>
    <row r="696" spans="1:52" ht="64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</row>
    <row r="697" spans="1:52" ht="64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</row>
    <row r="698" spans="1:52" ht="64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</row>
    <row r="699" spans="1:52" ht="64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</row>
    <row r="700" spans="1:52" ht="64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</row>
    <row r="701" spans="1:52" ht="64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</row>
    <row r="702" spans="1:52" ht="64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</row>
    <row r="703" spans="1:52" ht="64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</row>
    <row r="704" spans="1:52" ht="64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</row>
    <row r="705" spans="1:52" ht="64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</row>
    <row r="706" spans="1:52" ht="64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</row>
    <row r="707" spans="1:52" ht="64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</row>
    <row r="708" spans="1:52" ht="64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</row>
    <row r="709" spans="1:52" ht="64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</row>
    <row r="710" spans="1:52" ht="64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</row>
    <row r="711" spans="1:52" ht="64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</row>
    <row r="712" spans="1:52" ht="64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</row>
    <row r="713" spans="1:52" ht="64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</row>
    <row r="714" spans="1:52" ht="64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</row>
    <row r="715" spans="1:52" ht="64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</row>
    <row r="716" spans="1:52" ht="64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</row>
    <row r="717" spans="1:52" ht="64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</row>
    <row r="718" spans="1:52" ht="64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</row>
    <row r="719" spans="1:52" ht="64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</row>
    <row r="720" spans="1:52" ht="64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</row>
    <row r="721" spans="1:52" ht="64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</row>
    <row r="722" spans="1:52" ht="64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</row>
    <row r="723" spans="1:52" ht="64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</row>
    <row r="724" spans="1:52" ht="64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</row>
    <row r="725" spans="1:52" ht="64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</row>
    <row r="726" spans="1:52" ht="64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</row>
    <row r="727" spans="1:52" ht="64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</row>
    <row r="728" spans="1:52" ht="64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</row>
    <row r="729" spans="1:52" ht="64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</row>
    <row r="730" spans="1:52" ht="64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</row>
    <row r="731" spans="1:52" ht="64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</row>
    <row r="732" spans="1:52" ht="64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</row>
    <row r="733" spans="1:52" ht="64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</row>
    <row r="734" spans="1:52" ht="64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</row>
    <row r="735" spans="1:52" ht="64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</row>
    <row r="736" spans="1:52" ht="64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</row>
    <row r="737" spans="1:52" ht="64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</row>
    <row r="738" spans="1:52" ht="64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</row>
    <row r="739" spans="1:52" ht="64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</row>
    <row r="740" spans="1:52" ht="64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</row>
    <row r="741" spans="1:52" ht="64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</row>
    <row r="742" spans="1:52" ht="64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</row>
    <row r="743" spans="1:52" ht="64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</row>
    <row r="744" spans="1:52" ht="64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</row>
    <row r="745" spans="1:52" ht="64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</row>
    <row r="746" spans="1:52" ht="64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</row>
    <row r="747" spans="1:52" ht="64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</row>
    <row r="748" spans="1:52" ht="64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</row>
    <row r="749" spans="1:52" ht="64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</row>
    <row r="750" spans="1:52" ht="64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</row>
    <row r="751" spans="1:52" ht="64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</row>
    <row r="752" spans="1:52" ht="64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</row>
    <row r="753" spans="1:52" ht="64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</row>
    <row r="754" spans="1:52" ht="64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</row>
    <row r="755" spans="1:52" ht="64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</row>
    <row r="756" spans="1:52" ht="64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</row>
    <row r="757" spans="1:52" ht="64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</row>
    <row r="758" spans="1:52" ht="64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</row>
    <row r="759" spans="1:52" ht="64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</row>
    <row r="760" spans="1:52" ht="64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</row>
    <row r="761" spans="1:52" ht="64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</row>
    <row r="762" spans="1:52" ht="64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</row>
    <row r="763" spans="1:52" ht="64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</row>
    <row r="764" spans="1:52" ht="64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</row>
    <row r="765" spans="1:52" ht="64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</row>
    <row r="766" spans="1:52" ht="64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</row>
    <row r="767" spans="1:52" ht="64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</row>
    <row r="768" spans="1:52" ht="64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</row>
    <row r="769" spans="1:52" ht="64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</row>
    <row r="770" spans="1:52" ht="64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</row>
    <row r="771" spans="1:52" ht="64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</row>
    <row r="772" spans="1:52" ht="64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</row>
    <row r="773" spans="1:52" ht="64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</row>
    <row r="774" spans="1:52" ht="64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</row>
    <row r="775" spans="1:52" ht="64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</row>
    <row r="776" spans="1:52" ht="64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</row>
    <row r="777" spans="1:52" ht="64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</row>
    <row r="778" spans="1:52" ht="64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</row>
    <row r="779" spans="1:52" ht="64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</row>
    <row r="780" spans="1:52" ht="64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</row>
    <row r="781" spans="1:52" ht="64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</row>
    <row r="782" spans="1:52" ht="64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</row>
    <row r="783" spans="1:52" ht="64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</row>
    <row r="784" spans="1:52" ht="64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</row>
    <row r="785" spans="1:52" ht="64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</row>
    <row r="786" spans="1:52" ht="64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</row>
    <row r="787" spans="1:52" ht="64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</row>
    <row r="788" spans="1:52" ht="64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</row>
    <row r="789" spans="1:52" ht="64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</row>
    <row r="790" spans="1:52" ht="64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</row>
    <row r="791" spans="1:52" ht="64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</row>
    <row r="792" spans="1:52" ht="64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</row>
    <row r="793" spans="1:52" ht="64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</row>
    <row r="794" spans="1:52" ht="64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</row>
    <row r="795" spans="1:52" ht="64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</row>
    <row r="796" spans="1:52" ht="64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</row>
    <row r="797" spans="1:52" ht="64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</row>
    <row r="798" spans="1:52" ht="64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</row>
    <row r="799" spans="1:52" ht="64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</row>
    <row r="800" spans="1:52" ht="64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</row>
    <row r="801" spans="1:52" ht="64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</row>
    <row r="802" spans="1:52" ht="64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</row>
    <row r="803" spans="1:52" ht="64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</row>
    <row r="804" spans="1:52" ht="64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</row>
    <row r="805" spans="1:52" ht="64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</row>
    <row r="806" spans="1:52" ht="64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</row>
    <row r="807" spans="1:52" ht="64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</row>
    <row r="808" spans="1:52" ht="64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</row>
    <row r="809" spans="1:52" ht="64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</row>
    <row r="810" spans="1:52" ht="64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</row>
    <row r="811" spans="1:52" ht="64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</row>
    <row r="812" spans="1:52" ht="64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</row>
    <row r="813" spans="1:52" ht="64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</row>
    <row r="814" spans="1:52" ht="64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</row>
    <row r="815" spans="1:52" ht="64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</row>
    <row r="816" spans="1:52" ht="64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</row>
    <row r="817" spans="1:52" ht="64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</row>
    <row r="818" spans="1:52" ht="64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</row>
    <row r="819" spans="1:52" ht="64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</row>
    <row r="820" spans="1:52" ht="64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</row>
    <row r="821" spans="1:52" ht="64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</row>
    <row r="822" spans="1:52" ht="64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</row>
    <row r="823" spans="1:52" ht="64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</row>
    <row r="824" spans="1:52" ht="64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</row>
    <row r="825" spans="1:52" ht="64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</row>
    <row r="826" spans="1:52" ht="64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</row>
    <row r="827" spans="1:52" ht="64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</row>
    <row r="828" spans="1:52" ht="64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</row>
    <row r="829" spans="1:52" ht="64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</row>
    <row r="830" spans="1:52" ht="64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</row>
    <row r="831" spans="1:52" ht="64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</row>
    <row r="832" spans="1:52" ht="64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</row>
    <row r="833" spans="1:52" ht="64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</row>
    <row r="834" spans="1:52" ht="64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</row>
    <row r="835" spans="1:52" ht="64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</row>
    <row r="836" spans="1:52" ht="64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</row>
    <row r="837" spans="1:52" ht="64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</row>
    <row r="838" spans="1:52" ht="64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</row>
    <row r="839" spans="1:52" ht="64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</row>
    <row r="840" spans="1:52" ht="64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</row>
    <row r="841" spans="1:52" ht="64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</row>
    <row r="842" spans="1:52" ht="64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</row>
    <row r="843" spans="1:52" ht="64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</row>
    <row r="844" spans="1:52" ht="64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</row>
    <row r="845" spans="1:52" ht="64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</row>
    <row r="846" spans="1:52" ht="64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</row>
    <row r="847" spans="1:52" ht="64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</row>
    <row r="848" spans="1:52" ht="64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</row>
    <row r="849" spans="1:52" ht="64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</row>
    <row r="850" spans="1:52" ht="64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</row>
    <row r="851" spans="1:52" ht="64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</row>
    <row r="852" spans="1:52" ht="64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</row>
    <row r="853" spans="1:52" ht="64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</row>
    <row r="854" spans="1:52" ht="64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</row>
    <row r="855" spans="1:52" ht="64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</row>
    <row r="856" spans="1:52" ht="64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</row>
    <row r="857" spans="1:52" ht="64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</row>
    <row r="858" spans="1:52" ht="64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</row>
    <row r="859" spans="1:52" ht="64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</row>
    <row r="860" spans="1:52" ht="64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</row>
    <row r="861" spans="1:52" ht="64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</row>
    <row r="862" spans="1:52" ht="64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</row>
    <row r="863" spans="1:52" ht="64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</row>
    <row r="864" spans="1:52" ht="64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</row>
    <row r="865" spans="1:52" ht="64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</row>
    <row r="866" spans="1:52" ht="64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</row>
    <row r="867" spans="1:52" ht="64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</row>
    <row r="868" spans="1:52" ht="64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</row>
    <row r="869" spans="1:52" ht="64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</row>
    <row r="870" spans="1:52" ht="64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</row>
    <row r="871" spans="1:52" ht="64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</row>
    <row r="872" spans="1:52" ht="64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</row>
    <row r="873" spans="1:52" ht="64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</row>
    <row r="874" spans="1:52" ht="64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</row>
    <row r="875" spans="1:52" ht="64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</row>
    <row r="876" spans="1:52" ht="64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</row>
    <row r="877" spans="1:52" ht="64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</row>
    <row r="878" spans="1:52" ht="64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</row>
    <row r="879" spans="1:52" ht="64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</row>
    <row r="880" spans="1:52" ht="64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</row>
    <row r="881" spans="1:52" ht="64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</row>
    <row r="882" spans="1:52" ht="64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</row>
    <row r="883" spans="1:52" ht="64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</row>
    <row r="884" spans="1:52" ht="64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</row>
    <row r="885" spans="1:52" ht="64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</row>
    <row r="886" spans="1:52" ht="64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</row>
    <row r="887" spans="1:52" ht="64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</row>
    <row r="888" spans="1:52" ht="64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</row>
    <row r="889" spans="1:52" ht="64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</row>
    <row r="890" spans="1:52" ht="64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</row>
    <row r="891" spans="1:52" ht="64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</row>
    <row r="892" spans="1:52" ht="64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</row>
    <row r="893" spans="1:52" ht="64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</row>
    <row r="894" spans="1:52" ht="64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</row>
    <row r="895" spans="1:52" ht="64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</row>
    <row r="896" spans="1:52" ht="64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</row>
    <row r="897" spans="1:52" ht="64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</row>
    <row r="898" spans="1:52" ht="64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</row>
    <row r="899" spans="1:52" ht="64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</row>
    <row r="900" spans="1:52" ht="64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</row>
    <row r="901" spans="1:52" ht="64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</row>
    <row r="902" spans="1:52" ht="64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</row>
    <row r="903" spans="1:52" ht="64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</row>
    <row r="904" spans="1:52" ht="64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</row>
    <row r="905" spans="1:52" ht="64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</row>
    <row r="906" spans="1:52" ht="64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</row>
    <row r="907" spans="1:52" ht="64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</row>
    <row r="908" spans="1:52" ht="64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</row>
    <row r="909" spans="1:52" ht="64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</row>
    <row r="910" spans="1:52" ht="64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</row>
    <row r="911" spans="1:52" ht="64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</row>
    <row r="912" spans="1:52" ht="64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</row>
    <row r="913" spans="1:52" ht="64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</row>
    <row r="914" spans="1:52" ht="64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</row>
    <row r="915" spans="1:52" ht="64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</row>
    <row r="916" spans="1:52" ht="64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</row>
    <row r="917" spans="1:52" ht="64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</row>
    <row r="918" spans="1:52" ht="64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</row>
    <row r="919" spans="1:52" ht="64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</row>
    <row r="920" spans="1:52" ht="64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</row>
    <row r="921" spans="1:52" ht="64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</row>
    <row r="922" spans="1:52" ht="64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</row>
    <row r="923" spans="1:52" ht="64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</row>
    <row r="924" spans="1:52" ht="64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</row>
    <row r="925" spans="1:52" ht="64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</row>
    <row r="926" spans="1:52" ht="64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</row>
    <row r="927" spans="1:52" ht="64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</row>
    <row r="928" spans="1:52" ht="64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</row>
    <row r="929" spans="1:52" ht="64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</row>
    <row r="930" spans="1:52" ht="64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</row>
    <row r="931" spans="1:52" ht="64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</row>
    <row r="932" spans="1:52" ht="64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</row>
    <row r="933" spans="1:52" ht="64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</row>
    <row r="934" spans="1:52" ht="64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</row>
    <row r="935" spans="1:52" ht="64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</row>
    <row r="936" spans="1:52" ht="64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</row>
    <row r="937" spans="1:52" ht="64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</row>
    <row r="938" spans="1:52" ht="64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</row>
    <row r="939" spans="1:52" ht="64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</row>
    <row r="940" spans="1:52" ht="64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</row>
    <row r="941" spans="1:52" ht="64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</row>
    <row r="942" spans="1:52" ht="64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</row>
    <row r="943" spans="1:52" ht="64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</row>
    <row r="944" spans="1:52" ht="64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</row>
    <row r="945" spans="1:52" ht="64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</row>
    <row r="946" spans="1:52" ht="64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</row>
    <row r="947" spans="1:52" ht="64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</row>
    <row r="948" spans="1:52" ht="64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</row>
    <row r="949" spans="1:52" ht="64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</row>
    <row r="950" spans="1:52" ht="64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</row>
    <row r="951" spans="1:52" ht="64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</row>
    <row r="952" spans="1:52" ht="64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</row>
    <row r="953" spans="1:52" ht="64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</row>
    <row r="954" spans="1:52" ht="64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</row>
    <row r="955" spans="1:52" ht="64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</row>
    <row r="956" spans="1:52" ht="64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</row>
    <row r="957" spans="1:52" ht="64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</row>
    <row r="958" spans="1:52" ht="64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</row>
    <row r="959" spans="1:52" ht="64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</row>
    <row r="960" spans="1:52" ht="64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</row>
    <row r="961" spans="1:52" ht="64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</row>
    <row r="962" spans="1:52" ht="64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</row>
    <row r="963" spans="1:52" ht="64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</row>
    <row r="964" spans="1:52" ht="64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</row>
    <row r="965" spans="1:52" ht="64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</row>
    <row r="966" spans="1:52" ht="64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</row>
    <row r="967" spans="1:52" ht="64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</row>
    <row r="968" spans="1:52" ht="64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</row>
    <row r="969" spans="1:52" ht="64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</row>
    <row r="970" spans="1:52" ht="64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</row>
    <row r="971" spans="1:52" ht="64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</row>
    <row r="972" spans="1:52" ht="64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</row>
    <row r="973" spans="1:52" ht="64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</row>
    <row r="974" spans="1:52" ht="64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</row>
    <row r="975" spans="1:52" ht="64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</row>
    <row r="976" spans="1:52" ht="64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</row>
    <row r="977" spans="1:52" ht="64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</row>
    <row r="978" spans="1:52" ht="64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</row>
    <row r="979" spans="1:52" ht="64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</row>
    <row r="980" spans="1:52" ht="64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</row>
    <row r="981" spans="1:52" ht="64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</row>
    <row r="982" spans="1:52" ht="64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</row>
    <row r="983" spans="1:52" ht="64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</row>
    <row r="984" spans="1:52" ht="64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</row>
    <row r="985" spans="1:52" ht="64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</row>
    <row r="986" spans="1:52" ht="64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</row>
    <row r="987" spans="1:52" ht="64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</row>
    <row r="988" spans="1:52" ht="64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</row>
    <row r="989" spans="1:52" ht="64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</row>
    <row r="990" spans="1:52" ht="64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</row>
    <row r="991" spans="1:52" ht="64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</row>
    <row r="992" spans="1:52" ht="64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</row>
    <row r="993" spans="1:52" ht="64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</row>
    <row r="994" spans="1:52" ht="64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</row>
    <row r="995" spans="1:52" ht="64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</row>
    <row r="996" spans="1:52" ht="64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</row>
    <row r="997" spans="1:52" ht="64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</row>
    <row r="998" spans="1:52" ht="64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</row>
    <row r="999" spans="1:52" ht="64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</row>
    <row r="1000" spans="1:52" ht="64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</row>
  </sheetData>
  <conditionalFormatting sqref="B2:B1000">
    <cfRule type="expression" dxfId="4" priority="1">
      <formula>$B2="Critical"</formula>
    </cfRule>
    <cfRule type="expression" dxfId="3" priority="2">
      <formula>$B2="High"</formula>
    </cfRule>
  </conditionalFormatting>
  <conditionalFormatting sqref="AA2:AA1000">
    <cfRule type="expression" dxfId="2" priority="3">
      <formula>$AA2="A"</formula>
    </cfRule>
    <cfRule type="expression" dxfId="1" priority="4">
      <formula>$AA2="A-"</formula>
    </cfRule>
    <cfRule type="expression" dxfId="0" priority="5">
      <formula>$AA2="C"</formula>
    </cfRule>
  </conditionalFormatting>
  <dataValidations count="2">
    <dataValidation type="list" sqref="B2:B1000" xr:uid="{00000000-0002-0000-0200-000000000000}">
      <formula1>"Critical,High,Medium,Low"</formula1>
    </dataValidation>
    <dataValidation type="list" sqref="AA2:AA1000" xr:uid="{00000000-0002-0000-0200-000001000000}">
      <formula1>"A,A-,B,C"</formula1>
    </dataValidation>
  </dataValidations>
  <hyperlinks>
    <hyperlink ref="AD60" r:id="rId1" xr:uid="{0637766B-D281-A847-B251-C619CA0087F3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1000"/>
  <sheetViews>
    <sheetView topLeftCell="A28" workbookViewId="0">
      <selection activeCell="K37" sqref="K37"/>
    </sheetView>
  </sheetViews>
  <sheetFormatPr baseColWidth="10" defaultColWidth="8.83203125" defaultRowHeight="15"/>
  <cols>
    <col min="1" max="1" width="16" customWidth="1"/>
    <col min="2" max="2" width="18" customWidth="1"/>
    <col min="3" max="3" width="34" customWidth="1"/>
    <col min="4" max="4" width="24" customWidth="1"/>
    <col min="5" max="5" width="28" customWidth="1"/>
    <col min="6" max="7" width="14" customWidth="1"/>
    <col min="8" max="8" width="24" customWidth="1"/>
    <col min="9" max="9" width="14" customWidth="1"/>
    <col min="10" max="11" width="34" customWidth="1"/>
    <col min="12" max="12" width="48" customWidth="1"/>
  </cols>
  <sheetData>
    <row r="1" spans="1:52" ht="45.25" customHeight="1">
      <c r="A1" s="5" t="s">
        <v>1357</v>
      </c>
      <c r="B1" s="5" t="s">
        <v>21</v>
      </c>
      <c r="C1" s="5" t="s">
        <v>1358</v>
      </c>
      <c r="D1" s="5" t="s">
        <v>1359</v>
      </c>
      <c r="E1" s="5" t="s">
        <v>1360</v>
      </c>
      <c r="F1" s="5" t="s">
        <v>1361</v>
      </c>
      <c r="G1" s="5" t="s">
        <v>1362</v>
      </c>
      <c r="H1" s="5" t="s">
        <v>1363</v>
      </c>
      <c r="I1" s="5" t="s">
        <v>1364</v>
      </c>
      <c r="J1" s="5" t="s">
        <v>1365</v>
      </c>
      <c r="K1" s="5" t="s">
        <v>1366</v>
      </c>
      <c r="L1" s="5" t="s">
        <v>99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2" ht="64" customHeight="1">
      <c r="A2" s="4" t="s">
        <v>1367</v>
      </c>
      <c r="B2" s="4" t="s">
        <v>100</v>
      </c>
      <c r="C2" s="4" t="s">
        <v>1368</v>
      </c>
      <c r="D2" s="4" t="s">
        <v>221</v>
      </c>
      <c r="E2" s="4" t="s">
        <v>1369</v>
      </c>
      <c r="F2" s="4">
        <v>645</v>
      </c>
      <c r="G2" s="4">
        <v>4800</v>
      </c>
      <c r="H2" s="4" t="s">
        <v>1370</v>
      </c>
      <c r="I2" s="4" t="s">
        <v>1371</v>
      </c>
      <c r="J2" s="4" t="s">
        <v>1372</v>
      </c>
      <c r="K2" s="4" t="s">
        <v>1373</v>
      </c>
      <c r="L2" s="4" t="s">
        <v>124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:52" ht="64" customHeight="1">
      <c r="A3" s="4" t="s">
        <v>1374</v>
      </c>
      <c r="B3" s="4" t="s">
        <v>100</v>
      </c>
      <c r="C3" s="4" t="s">
        <v>1375</v>
      </c>
      <c r="D3" s="4" t="s">
        <v>1376</v>
      </c>
      <c r="E3" s="4" t="s">
        <v>1369</v>
      </c>
      <c r="F3" s="4">
        <v>645</v>
      </c>
      <c r="G3" s="4">
        <v>4800</v>
      </c>
      <c r="H3" s="4" t="s">
        <v>1377</v>
      </c>
      <c r="I3" s="4" t="s">
        <v>1378</v>
      </c>
      <c r="J3" s="4" t="s">
        <v>1379</v>
      </c>
      <c r="K3" s="4" t="s">
        <v>1380</v>
      </c>
      <c r="L3" s="4" t="s">
        <v>124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 spans="1:52" ht="64" customHeight="1">
      <c r="A4" s="4" t="s">
        <v>1381</v>
      </c>
      <c r="B4" s="4" t="s">
        <v>195</v>
      </c>
      <c r="C4" s="4" t="s">
        <v>1382</v>
      </c>
      <c r="D4" s="4" t="s">
        <v>1383</v>
      </c>
      <c r="E4" s="4" t="s">
        <v>1384</v>
      </c>
      <c r="F4" s="4">
        <v>650</v>
      </c>
      <c r="G4" s="4">
        <v>22533</v>
      </c>
      <c r="H4" s="4" t="s">
        <v>1385</v>
      </c>
      <c r="I4" s="4" t="s">
        <v>1378</v>
      </c>
      <c r="J4" s="4" t="s">
        <v>1386</v>
      </c>
      <c r="K4" s="4" t="s">
        <v>1387</v>
      </c>
      <c r="L4" s="4" t="s">
        <v>208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1:52" ht="64" customHeight="1">
      <c r="A5" s="4" t="s">
        <v>1388</v>
      </c>
      <c r="B5" s="4" t="s">
        <v>195</v>
      </c>
      <c r="C5" s="4" t="s">
        <v>1389</v>
      </c>
      <c r="D5" s="4" t="s">
        <v>1390</v>
      </c>
      <c r="E5" s="4" t="s">
        <v>1391</v>
      </c>
      <c r="F5" s="4">
        <v>650</v>
      </c>
      <c r="G5" s="4">
        <v>22533</v>
      </c>
      <c r="H5" s="4" t="s">
        <v>1392</v>
      </c>
      <c r="I5" s="4" t="s">
        <v>1393</v>
      </c>
      <c r="J5" s="4" t="s">
        <v>1394</v>
      </c>
      <c r="K5" s="4" t="s">
        <v>1395</v>
      </c>
      <c r="L5" s="4" t="s">
        <v>208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52" ht="64" customHeight="1">
      <c r="A6" s="4" t="s">
        <v>1396</v>
      </c>
      <c r="B6" s="4" t="s">
        <v>195</v>
      </c>
      <c r="C6" s="4" t="s">
        <v>1397</v>
      </c>
      <c r="D6" s="4" t="s">
        <v>1383</v>
      </c>
      <c r="E6" s="4" t="s">
        <v>1398</v>
      </c>
      <c r="F6" s="4">
        <v>650</v>
      </c>
      <c r="G6" s="4">
        <v>22533</v>
      </c>
      <c r="H6" s="4" t="s">
        <v>1399</v>
      </c>
      <c r="I6" s="4" t="s">
        <v>1400</v>
      </c>
      <c r="J6" s="4" t="s">
        <v>1401</v>
      </c>
      <c r="K6" s="4" t="s">
        <v>1402</v>
      </c>
      <c r="L6" s="4" t="s">
        <v>208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spans="1:52" ht="64" customHeight="1">
      <c r="A7" s="4" t="s">
        <v>1403</v>
      </c>
      <c r="B7" s="4" t="s">
        <v>251</v>
      </c>
      <c r="C7" s="4" t="s">
        <v>1404</v>
      </c>
      <c r="D7" s="4" t="s">
        <v>1405</v>
      </c>
      <c r="E7" s="4" t="s">
        <v>1406</v>
      </c>
      <c r="F7" s="4">
        <v>650</v>
      </c>
      <c r="G7" s="4"/>
      <c r="H7" s="4" t="s">
        <v>1407</v>
      </c>
      <c r="I7" s="4" t="s">
        <v>1408</v>
      </c>
      <c r="J7" s="4" t="s">
        <v>1409</v>
      </c>
      <c r="K7" s="4" t="s">
        <v>1410</v>
      </c>
      <c r="L7" s="4" t="s">
        <v>275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spans="1:52" ht="64" customHeight="1">
      <c r="A8" s="4" t="s">
        <v>1411</v>
      </c>
      <c r="B8" s="4" t="s">
        <v>251</v>
      </c>
      <c r="C8" s="4" t="s">
        <v>1412</v>
      </c>
      <c r="D8" s="4" t="s">
        <v>1405</v>
      </c>
      <c r="E8" s="4" t="s">
        <v>1406</v>
      </c>
      <c r="F8" s="4">
        <v>650</v>
      </c>
      <c r="G8" s="4"/>
      <c r="H8" s="4" t="s">
        <v>1413</v>
      </c>
      <c r="I8" s="4" t="s">
        <v>1408</v>
      </c>
      <c r="J8" s="4" t="s">
        <v>1414</v>
      </c>
      <c r="K8" s="4" t="s">
        <v>1410</v>
      </c>
      <c r="L8" s="4" t="s">
        <v>275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spans="1:52" ht="64" customHeight="1">
      <c r="A9" s="4" t="s">
        <v>1415</v>
      </c>
      <c r="B9" s="4" t="s">
        <v>296</v>
      </c>
      <c r="C9" s="4" t="s">
        <v>1416</v>
      </c>
      <c r="D9" s="4" t="s">
        <v>1417</v>
      </c>
      <c r="E9" s="4" t="s">
        <v>1418</v>
      </c>
      <c r="F9" s="4"/>
      <c r="G9" s="4"/>
      <c r="H9" s="4" t="s">
        <v>1419</v>
      </c>
      <c r="I9" s="4" t="s">
        <v>1420</v>
      </c>
      <c r="J9" s="4" t="s">
        <v>1421</v>
      </c>
      <c r="K9" s="4" t="s">
        <v>1422</v>
      </c>
      <c r="L9" s="4" t="s">
        <v>275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spans="1:52" ht="64" customHeight="1">
      <c r="A10" s="4" t="s">
        <v>1423</v>
      </c>
      <c r="B10" s="4" t="s">
        <v>276</v>
      </c>
      <c r="C10" s="4" t="s">
        <v>1424</v>
      </c>
      <c r="D10" s="4" t="s">
        <v>1425</v>
      </c>
      <c r="E10" s="4" t="s">
        <v>1426</v>
      </c>
      <c r="F10" s="4">
        <v>650</v>
      </c>
      <c r="G10" s="4" t="s">
        <v>1427</v>
      </c>
      <c r="H10" s="4" t="s">
        <v>1428</v>
      </c>
      <c r="I10" s="4" t="s">
        <v>1371</v>
      </c>
      <c r="J10" s="4" t="s">
        <v>1429</v>
      </c>
      <c r="K10" s="4" t="s">
        <v>1430</v>
      </c>
      <c r="L10" s="4" t="s">
        <v>275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1:52" ht="64" customHeight="1">
      <c r="A11" s="4" t="s">
        <v>1431</v>
      </c>
      <c r="B11" s="4" t="s">
        <v>315</v>
      </c>
      <c r="C11" s="4" t="s">
        <v>1432</v>
      </c>
      <c r="D11" s="4" t="s">
        <v>1433</v>
      </c>
      <c r="E11" s="4" t="s">
        <v>1434</v>
      </c>
      <c r="F11" s="4"/>
      <c r="G11" s="4"/>
      <c r="H11" s="4" t="s">
        <v>1435</v>
      </c>
      <c r="I11" s="4" t="s">
        <v>1436</v>
      </c>
      <c r="J11" s="4" t="s">
        <v>1437</v>
      </c>
      <c r="K11" s="4" t="s">
        <v>1438</v>
      </c>
      <c r="L11" s="4" t="s">
        <v>275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52" ht="64" customHeight="1">
      <c r="A12" s="4" t="s">
        <v>1439</v>
      </c>
      <c r="B12" s="4" t="s">
        <v>440</v>
      </c>
      <c r="C12" s="4" t="s">
        <v>1440</v>
      </c>
      <c r="D12" s="4" t="s">
        <v>221</v>
      </c>
      <c r="E12" s="4" t="s">
        <v>1441</v>
      </c>
      <c r="F12" s="4">
        <v>704</v>
      </c>
      <c r="G12" s="4">
        <v>29500</v>
      </c>
      <c r="H12" s="4" t="s">
        <v>1442</v>
      </c>
      <c r="I12" s="4" t="s">
        <v>1443</v>
      </c>
      <c r="J12" s="4" t="s">
        <v>1444</v>
      </c>
      <c r="K12" s="4" t="s">
        <v>1445</v>
      </c>
      <c r="L12" s="4" t="s">
        <v>461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spans="1:52" ht="64" customHeight="1">
      <c r="A13" s="4" t="s">
        <v>1446</v>
      </c>
      <c r="B13" s="4" t="s">
        <v>440</v>
      </c>
      <c r="C13" s="4" t="s">
        <v>1447</v>
      </c>
      <c r="D13" s="4" t="s">
        <v>221</v>
      </c>
      <c r="E13" s="4" t="s">
        <v>1448</v>
      </c>
      <c r="F13" s="4">
        <v>538</v>
      </c>
      <c r="G13" s="4">
        <v>29500</v>
      </c>
      <c r="H13" s="4" t="s">
        <v>1449</v>
      </c>
      <c r="I13" s="4" t="s">
        <v>1443</v>
      </c>
      <c r="J13" s="4" t="s">
        <v>1444</v>
      </c>
      <c r="K13" s="4" t="s">
        <v>1450</v>
      </c>
      <c r="L13" s="4" t="s">
        <v>461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spans="1:52" ht="64" customHeight="1">
      <c r="A14" s="4" t="s">
        <v>1451</v>
      </c>
      <c r="B14" s="4" t="s">
        <v>440</v>
      </c>
      <c r="C14" s="4" t="s">
        <v>1452</v>
      </c>
      <c r="D14" s="4" t="s">
        <v>221</v>
      </c>
      <c r="E14" s="4" t="s">
        <v>1453</v>
      </c>
      <c r="F14" s="4">
        <v>704</v>
      </c>
      <c r="G14" s="4">
        <v>29500</v>
      </c>
      <c r="H14" s="4" t="s">
        <v>1454</v>
      </c>
      <c r="I14" s="4" t="s">
        <v>1420</v>
      </c>
      <c r="J14" s="4" t="s">
        <v>1455</v>
      </c>
      <c r="K14" s="4" t="s">
        <v>1456</v>
      </c>
      <c r="L14" s="4" t="s">
        <v>461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1:52" ht="64" customHeight="1">
      <c r="A15" s="4" t="s">
        <v>1457</v>
      </c>
      <c r="B15" s="4" t="s">
        <v>440</v>
      </c>
      <c r="C15" s="4" t="s">
        <v>1458</v>
      </c>
      <c r="D15" s="4" t="s">
        <v>1459</v>
      </c>
      <c r="E15" s="4" t="s">
        <v>1460</v>
      </c>
      <c r="F15" s="4"/>
      <c r="G15" s="4">
        <v>29500</v>
      </c>
      <c r="H15" s="4" t="s">
        <v>1461</v>
      </c>
      <c r="I15" s="4" t="s">
        <v>1393</v>
      </c>
      <c r="J15" s="4" t="s">
        <v>1462</v>
      </c>
      <c r="K15" s="4" t="s">
        <v>1463</v>
      </c>
      <c r="L15" s="4" t="s">
        <v>461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pans="1:52" ht="64" customHeight="1">
      <c r="A16" s="4" t="s">
        <v>1464</v>
      </c>
      <c r="B16" s="4" t="s">
        <v>440</v>
      </c>
      <c r="C16" s="4" t="s">
        <v>1465</v>
      </c>
      <c r="D16" s="4" t="s">
        <v>1466</v>
      </c>
      <c r="E16" s="4" t="s">
        <v>1460</v>
      </c>
      <c r="F16" s="4"/>
      <c r="G16" s="4">
        <v>29500</v>
      </c>
      <c r="H16" s="4" t="s">
        <v>1467</v>
      </c>
      <c r="I16" s="4" t="s">
        <v>1393</v>
      </c>
      <c r="J16" s="4" t="s">
        <v>1462</v>
      </c>
      <c r="K16" s="4" t="s">
        <v>1463</v>
      </c>
      <c r="L16" s="4" t="s">
        <v>461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1:52" ht="64" customHeight="1">
      <c r="A17" s="4" t="s">
        <v>1468</v>
      </c>
      <c r="B17" s="4" t="s">
        <v>462</v>
      </c>
      <c r="C17" s="4" t="s">
        <v>1469</v>
      </c>
      <c r="D17" s="4" t="s">
        <v>1470</v>
      </c>
      <c r="E17" s="4" t="s">
        <v>1460</v>
      </c>
      <c r="F17" s="4"/>
      <c r="G17" s="4"/>
      <c r="H17" s="4" t="s">
        <v>1471</v>
      </c>
      <c r="I17" s="4" t="s">
        <v>1393</v>
      </c>
      <c r="J17" s="4" t="s">
        <v>1472</v>
      </c>
      <c r="K17" s="4" t="s">
        <v>1473</v>
      </c>
      <c r="L17" s="4" t="s">
        <v>461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1:52" ht="64" customHeight="1">
      <c r="A18" s="4" t="s">
        <v>1474</v>
      </c>
      <c r="B18" s="4" t="s">
        <v>462</v>
      </c>
      <c r="C18" s="4" t="s">
        <v>1475</v>
      </c>
      <c r="D18" s="4" t="s">
        <v>221</v>
      </c>
      <c r="E18" s="4" t="s">
        <v>1476</v>
      </c>
      <c r="F18" s="4">
        <v>704</v>
      </c>
      <c r="G18" s="4">
        <v>450</v>
      </c>
      <c r="H18" s="4" t="s">
        <v>1477</v>
      </c>
      <c r="I18" s="4" t="s">
        <v>1478</v>
      </c>
      <c r="J18" s="4" t="s">
        <v>1479</v>
      </c>
      <c r="K18" s="4" t="s">
        <v>1480</v>
      </c>
      <c r="L18" s="4" t="s">
        <v>461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1:52" ht="64" customHeight="1">
      <c r="A19" s="4" t="s">
        <v>1481</v>
      </c>
      <c r="B19" s="4" t="s">
        <v>462</v>
      </c>
      <c r="C19" s="4" t="s">
        <v>1482</v>
      </c>
      <c r="D19" s="4" t="s">
        <v>221</v>
      </c>
      <c r="E19" s="4" t="s">
        <v>1476</v>
      </c>
      <c r="F19" s="4">
        <v>704</v>
      </c>
      <c r="G19" s="4">
        <v>2900</v>
      </c>
      <c r="H19" s="4" t="s">
        <v>1483</v>
      </c>
      <c r="I19" s="4" t="s">
        <v>1484</v>
      </c>
      <c r="J19" s="4" t="s">
        <v>1485</v>
      </c>
      <c r="K19" s="4" t="s">
        <v>1480</v>
      </c>
      <c r="L19" s="4" t="s">
        <v>461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spans="1:52" ht="64" customHeight="1">
      <c r="A20" s="4" t="s">
        <v>1486</v>
      </c>
      <c r="B20" s="4" t="s">
        <v>462</v>
      </c>
      <c r="C20" s="4" t="s">
        <v>1487</v>
      </c>
      <c r="D20" s="4" t="s">
        <v>221</v>
      </c>
      <c r="E20" s="4" t="s">
        <v>1476</v>
      </c>
      <c r="F20" s="4">
        <v>704</v>
      </c>
      <c r="G20" s="4">
        <v>2900</v>
      </c>
      <c r="H20" s="4" t="s">
        <v>1488</v>
      </c>
      <c r="I20" s="4" t="s">
        <v>1378</v>
      </c>
      <c r="J20" s="4" t="s">
        <v>1489</v>
      </c>
      <c r="K20" s="4" t="s">
        <v>1490</v>
      </c>
      <c r="L20" s="4" t="s">
        <v>461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spans="1:52" ht="64" customHeight="1">
      <c r="A21" s="4" t="s">
        <v>1491</v>
      </c>
      <c r="B21" s="4" t="s">
        <v>553</v>
      </c>
      <c r="C21" s="4" t="s">
        <v>1492</v>
      </c>
      <c r="D21" s="4" t="s">
        <v>221</v>
      </c>
      <c r="E21" s="4" t="s">
        <v>1493</v>
      </c>
      <c r="F21" s="4">
        <v>700</v>
      </c>
      <c r="G21" s="4" t="s">
        <v>564</v>
      </c>
      <c r="H21" s="4" t="s">
        <v>1494</v>
      </c>
      <c r="I21" s="4" t="s">
        <v>1378</v>
      </c>
      <c r="J21" s="4" t="s">
        <v>1495</v>
      </c>
      <c r="K21" s="4" t="s">
        <v>1496</v>
      </c>
      <c r="L21" s="4" t="s">
        <v>573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spans="1:52" ht="64" customHeight="1">
      <c r="A22" s="4" t="s">
        <v>1497</v>
      </c>
      <c r="B22" s="4" t="s">
        <v>553</v>
      </c>
      <c r="C22" s="4" t="s">
        <v>1458</v>
      </c>
      <c r="D22" s="4" t="s">
        <v>1459</v>
      </c>
      <c r="E22" s="4" t="s">
        <v>1498</v>
      </c>
      <c r="F22" s="4"/>
      <c r="G22" s="4" t="s">
        <v>564</v>
      </c>
      <c r="H22" s="4" t="s">
        <v>1499</v>
      </c>
      <c r="I22" s="4" t="s">
        <v>1393</v>
      </c>
      <c r="J22" s="4" t="s">
        <v>1500</v>
      </c>
      <c r="K22" s="4" t="s">
        <v>1501</v>
      </c>
      <c r="L22" s="4" t="s">
        <v>573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2" ht="64" customHeight="1">
      <c r="A23" s="4" t="s">
        <v>1502</v>
      </c>
      <c r="B23" s="4" t="s">
        <v>574</v>
      </c>
      <c r="C23" s="4" t="s">
        <v>1503</v>
      </c>
      <c r="D23" s="4" t="s">
        <v>1504</v>
      </c>
      <c r="E23" s="4" t="s">
        <v>1505</v>
      </c>
      <c r="F23" s="4">
        <v>700</v>
      </c>
      <c r="G23" s="4" t="s">
        <v>564</v>
      </c>
      <c r="H23" s="4" t="s">
        <v>1506</v>
      </c>
      <c r="I23" s="4" t="s">
        <v>1378</v>
      </c>
      <c r="J23" s="4" t="s">
        <v>1507</v>
      </c>
      <c r="K23" s="4" t="s">
        <v>1508</v>
      </c>
      <c r="L23" s="4" t="s">
        <v>573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ht="64" customHeight="1">
      <c r="A24" s="4" t="s">
        <v>1509</v>
      </c>
      <c r="B24" s="4" t="s">
        <v>384</v>
      </c>
      <c r="C24" s="4" t="s">
        <v>1510</v>
      </c>
      <c r="D24" s="4" t="s">
        <v>394</v>
      </c>
      <c r="E24" s="4" t="s">
        <v>388</v>
      </c>
      <c r="F24" s="4">
        <v>688</v>
      </c>
      <c r="G24" s="4">
        <v>83516</v>
      </c>
      <c r="H24" s="4" t="s">
        <v>1511</v>
      </c>
      <c r="I24" s="4" t="s">
        <v>1420</v>
      </c>
      <c r="J24" s="4" t="s">
        <v>1512</v>
      </c>
      <c r="K24" s="4" t="s">
        <v>1513</v>
      </c>
      <c r="L24" s="4" t="s">
        <v>410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spans="1:52" ht="64" customHeight="1">
      <c r="A25" s="4" t="s">
        <v>1514</v>
      </c>
      <c r="B25" s="4" t="s">
        <v>384</v>
      </c>
      <c r="C25" s="4" t="s">
        <v>1515</v>
      </c>
      <c r="D25" s="4" t="s">
        <v>394</v>
      </c>
      <c r="E25" s="4" t="s">
        <v>388</v>
      </c>
      <c r="F25" s="4">
        <v>688</v>
      </c>
      <c r="G25" s="4">
        <v>83516</v>
      </c>
      <c r="H25" s="4" t="s">
        <v>1516</v>
      </c>
      <c r="I25" s="4" t="s">
        <v>1378</v>
      </c>
      <c r="J25" s="4" t="s">
        <v>1517</v>
      </c>
      <c r="K25" s="4" t="s">
        <v>1518</v>
      </c>
      <c r="L25" s="4" t="s">
        <v>410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spans="1:52" ht="64" customHeight="1">
      <c r="A26" s="4" t="s">
        <v>1519</v>
      </c>
      <c r="B26" s="4" t="s">
        <v>538</v>
      </c>
      <c r="C26" s="4" t="s">
        <v>1510</v>
      </c>
      <c r="D26" s="4" t="s">
        <v>544</v>
      </c>
      <c r="E26" s="4" t="s">
        <v>540</v>
      </c>
      <c r="F26" s="4">
        <v>650</v>
      </c>
      <c r="G26" s="4">
        <v>4298</v>
      </c>
      <c r="H26" s="4" t="s">
        <v>1520</v>
      </c>
      <c r="I26" s="4" t="s">
        <v>1420</v>
      </c>
      <c r="J26" s="4" t="s">
        <v>1521</v>
      </c>
      <c r="K26" s="4" t="s">
        <v>1513</v>
      </c>
      <c r="L26" s="4" t="s">
        <v>410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spans="1:52" ht="64" customHeight="1">
      <c r="A27" s="4" t="s">
        <v>1522</v>
      </c>
      <c r="B27" s="4" t="s">
        <v>593</v>
      </c>
      <c r="C27" s="4" t="s">
        <v>1523</v>
      </c>
      <c r="D27" s="4" t="s">
        <v>544</v>
      </c>
      <c r="E27" s="4" t="s">
        <v>1524</v>
      </c>
      <c r="F27" s="4">
        <v>650</v>
      </c>
      <c r="G27" s="4">
        <v>508</v>
      </c>
      <c r="H27" s="4" t="s">
        <v>1525</v>
      </c>
      <c r="I27" s="4" t="s">
        <v>1420</v>
      </c>
      <c r="J27" s="4" t="s">
        <v>1526</v>
      </c>
      <c r="K27" s="4" t="s">
        <v>1527</v>
      </c>
      <c r="L27" s="4" t="s">
        <v>610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spans="1:52" ht="64" customHeight="1">
      <c r="A28" s="4" t="s">
        <v>1528</v>
      </c>
      <c r="B28" s="4" t="s">
        <v>611</v>
      </c>
      <c r="C28" s="4" t="s">
        <v>1529</v>
      </c>
      <c r="D28" s="4" t="s">
        <v>544</v>
      </c>
      <c r="E28" s="4" t="s">
        <v>1530</v>
      </c>
      <c r="F28" s="4">
        <v>650</v>
      </c>
      <c r="G28" s="4" t="s">
        <v>1531</v>
      </c>
      <c r="H28" s="4" t="s">
        <v>1532</v>
      </c>
      <c r="I28" s="4" t="s">
        <v>1371</v>
      </c>
      <c r="J28" s="4" t="s">
        <v>1533</v>
      </c>
      <c r="K28" s="4" t="s">
        <v>1534</v>
      </c>
      <c r="L28" s="4" t="s">
        <v>610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spans="1:52" ht="64" customHeight="1">
      <c r="A29" s="4" t="s">
        <v>1535</v>
      </c>
      <c r="B29" s="4" t="s">
        <v>853</v>
      </c>
      <c r="C29" s="4" t="s">
        <v>1536</v>
      </c>
      <c r="D29" s="4" t="s">
        <v>221</v>
      </c>
      <c r="E29" s="4" t="s">
        <v>1537</v>
      </c>
      <c r="F29" s="4">
        <v>687</v>
      </c>
      <c r="G29" s="4">
        <v>19930</v>
      </c>
      <c r="H29" s="4" t="s">
        <v>1538</v>
      </c>
      <c r="I29" s="4" t="s">
        <v>1420</v>
      </c>
      <c r="J29" s="4" t="s">
        <v>1539</v>
      </c>
      <c r="K29" s="4" t="s">
        <v>1540</v>
      </c>
      <c r="L29" s="4" t="s">
        <v>868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spans="1:52" ht="64" customHeight="1">
      <c r="A30" s="4" t="s">
        <v>1541</v>
      </c>
      <c r="B30" s="4" t="s">
        <v>929</v>
      </c>
      <c r="C30" s="4" t="s">
        <v>1542</v>
      </c>
      <c r="D30" s="4" t="s">
        <v>938</v>
      </c>
      <c r="E30" s="4" t="s">
        <v>1543</v>
      </c>
      <c r="F30" s="4">
        <v>650</v>
      </c>
      <c r="G30" s="4">
        <v>1000</v>
      </c>
      <c r="H30" s="4" t="s">
        <v>1544</v>
      </c>
      <c r="I30" s="4" t="s">
        <v>1443</v>
      </c>
      <c r="J30" s="4" t="s">
        <v>1545</v>
      </c>
      <c r="K30" s="4" t="s">
        <v>1546</v>
      </c>
      <c r="L30" s="4" t="s">
        <v>948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1:52" ht="64" customHeight="1">
      <c r="A31" s="4" t="s">
        <v>1547</v>
      </c>
      <c r="B31" s="4" t="s">
        <v>929</v>
      </c>
      <c r="C31" s="4" t="s">
        <v>1548</v>
      </c>
      <c r="D31" s="4" t="s">
        <v>938</v>
      </c>
      <c r="E31" s="4" t="s">
        <v>1549</v>
      </c>
      <c r="F31" s="4">
        <v>540</v>
      </c>
      <c r="G31" s="4">
        <v>1000</v>
      </c>
      <c r="H31" s="4" t="s">
        <v>1550</v>
      </c>
      <c r="I31" s="4" t="s">
        <v>1443</v>
      </c>
      <c r="J31" s="4" t="s">
        <v>1545</v>
      </c>
      <c r="K31" s="4" t="s">
        <v>1450</v>
      </c>
      <c r="L31" s="4" t="s">
        <v>948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spans="1:52" ht="64" customHeight="1">
      <c r="A32" s="4" t="s">
        <v>1551</v>
      </c>
      <c r="B32" s="4" t="s">
        <v>929</v>
      </c>
      <c r="C32" s="4" t="s">
        <v>1552</v>
      </c>
      <c r="D32" s="4" t="s">
        <v>938</v>
      </c>
      <c r="E32" s="4" t="s">
        <v>1543</v>
      </c>
      <c r="F32" s="4">
        <v>650</v>
      </c>
      <c r="G32" s="4">
        <v>1000</v>
      </c>
      <c r="H32" s="4" t="s">
        <v>1553</v>
      </c>
      <c r="I32" s="4" t="s">
        <v>1554</v>
      </c>
      <c r="J32" s="4" t="s">
        <v>1555</v>
      </c>
      <c r="K32" s="4" t="s">
        <v>1556</v>
      </c>
      <c r="L32" s="4" t="s">
        <v>948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1:52" ht="64" customHeight="1">
      <c r="A33" s="4" t="s">
        <v>1557</v>
      </c>
      <c r="B33" s="4" t="s">
        <v>949</v>
      </c>
      <c r="C33" s="4" t="s">
        <v>1558</v>
      </c>
      <c r="D33" s="4" t="s">
        <v>938</v>
      </c>
      <c r="E33" s="4" t="s">
        <v>1559</v>
      </c>
      <c r="F33" s="4">
        <v>650</v>
      </c>
      <c r="G33" s="4">
        <v>1000</v>
      </c>
      <c r="H33" s="4" t="s">
        <v>1560</v>
      </c>
      <c r="I33" s="4" t="s">
        <v>1371</v>
      </c>
      <c r="J33" s="4" t="s">
        <v>1561</v>
      </c>
      <c r="K33" s="4" t="s">
        <v>1562</v>
      </c>
      <c r="L33" s="4" t="s">
        <v>965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64" customHeight="1">
      <c r="A34" s="4" t="s">
        <v>1563</v>
      </c>
      <c r="B34" s="4" t="s">
        <v>1024</v>
      </c>
      <c r="C34" s="4" t="s">
        <v>1564</v>
      </c>
      <c r="D34" s="4" t="s">
        <v>1565</v>
      </c>
      <c r="E34" s="4" t="s">
        <v>1566</v>
      </c>
      <c r="F34" s="4">
        <v>700</v>
      </c>
      <c r="G34" s="4">
        <v>100</v>
      </c>
      <c r="H34" s="4" t="s">
        <v>1567</v>
      </c>
      <c r="I34" s="4" t="s">
        <v>1554</v>
      </c>
      <c r="J34" s="4" t="s">
        <v>1568</v>
      </c>
      <c r="K34" s="4" t="s">
        <v>1569</v>
      </c>
      <c r="L34" s="4" t="s">
        <v>1041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spans="1:52" ht="64" customHeight="1">
      <c r="A35" s="4" t="s">
        <v>1570</v>
      </c>
      <c r="B35" s="4" t="s">
        <v>1024</v>
      </c>
      <c r="C35" s="4" t="s">
        <v>1571</v>
      </c>
      <c r="D35" s="4" t="s">
        <v>221</v>
      </c>
      <c r="E35" s="4" t="s">
        <v>1566</v>
      </c>
      <c r="F35" s="4">
        <v>700</v>
      </c>
      <c r="G35" s="4">
        <v>100</v>
      </c>
      <c r="H35" s="4" t="s">
        <v>1572</v>
      </c>
      <c r="I35" s="4" t="s">
        <v>1554</v>
      </c>
      <c r="J35" s="4" t="s">
        <v>1573</v>
      </c>
      <c r="K35" s="4" t="s">
        <v>1574</v>
      </c>
      <c r="L35" s="4" t="s">
        <v>1041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pans="1:52" ht="64" customHeight="1">
      <c r="A36" s="4" t="s">
        <v>1575</v>
      </c>
      <c r="B36" s="4" t="s">
        <v>1042</v>
      </c>
      <c r="C36" s="4" t="s">
        <v>1576</v>
      </c>
      <c r="D36" s="4" t="s">
        <v>221</v>
      </c>
      <c r="E36" s="4" t="s">
        <v>1577</v>
      </c>
      <c r="F36" s="4">
        <v>700</v>
      </c>
      <c r="G36" s="4">
        <v>240</v>
      </c>
      <c r="H36" s="4" t="s">
        <v>1578</v>
      </c>
      <c r="I36" s="4" t="s">
        <v>1579</v>
      </c>
      <c r="J36" s="4" t="s">
        <v>1580</v>
      </c>
      <c r="K36" s="4" t="s">
        <v>1581</v>
      </c>
      <c r="L36" s="4" t="s">
        <v>1056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pans="1:52" ht="64" customHeight="1">
      <c r="A37" s="4" t="s">
        <v>1582</v>
      </c>
      <c r="B37" s="4" t="s">
        <v>1042</v>
      </c>
      <c r="C37" s="4" t="s">
        <v>1583</v>
      </c>
      <c r="D37" s="4" t="s">
        <v>1584</v>
      </c>
      <c r="E37" s="4" t="s">
        <v>1585</v>
      </c>
      <c r="F37" s="4"/>
      <c r="G37" s="4"/>
      <c r="H37" s="4" t="s">
        <v>1586</v>
      </c>
      <c r="I37" s="4" t="s">
        <v>1579</v>
      </c>
      <c r="J37" s="4" t="s">
        <v>1587</v>
      </c>
      <c r="K37" s="4" t="s">
        <v>1588</v>
      </c>
      <c r="L37" s="4" t="s">
        <v>1056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spans="1:52" ht="64" customHeight="1">
      <c r="A38" s="4" t="s">
        <v>1589</v>
      </c>
      <c r="B38" s="4" t="s">
        <v>1042</v>
      </c>
      <c r="C38" s="4" t="s">
        <v>1590</v>
      </c>
      <c r="D38" s="4" t="s">
        <v>221</v>
      </c>
      <c r="E38" s="4" t="s">
        <v>1591</v>
      </c>
      <c r="F38" s="4">
        <v>700</v>
      </c>
      <c r="G38" s="4">
        <v>240</v>
      </c>
      <c r="H38" s="4" t="s">
        <v>1592</v>
      </c>
      <c r="I38" s="4" t="s">
        <v>1554</v>
      </c>
      <c r="J38" s="4" t="s">
        <v>1593</v>
      </c>
      <c r="K38" s="4" t="s">
        <v>1594</v>
      </c>
      <c r="L38" s="4" t="s">
        <v>1056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spans="1:52" ht="64" customHeight="1">
      <c r="A39" s="4" t="s">
        <v>1595</v>
      </c>
      <c r="B39" s="4" t="s">
        <v>1111</v>
      </c>
      <c r="C39" s="4" t="s">
        <v>1596</v>
      </c>
      <c r="D39" s="4" t="s">
        <v>938</v>
      </c>
      <c r="E39" s="4" t="s">
        <v>1597</v>
      </c>
      <c r="F39" s="4">
        <v>700</v>
      </c>
      <c r="G39" s="4">
        <v>1000</v>
      </c>
      <c r="H39" s="4" t="s">
        <v>1598</v>
      </c>
      <c r="I39" s="4" t="s">
        <v>1554</v>
      </c>
      <c r="J39" s="4" t="s">
        <v>1599</v>
      </c>
      <c r="K39" s="4" t="s">
        <v>1600</v>
      </c>
      <c r="L39" s="4" t="s">
        <v>1125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64" customHeight="1">
      <c r="A40" s="4" t="s">
        <v>1601</v>
      </c>
      <c r="B40" s="4" t="s">
        <v>672</v>
      </c>
      <c r="C40" s="4" t="s">
        <v>1602</v>
      </c>
      <c r="D40" s="4" t="s">
        <v>1603</v>
      </c>
      <c r="E40" s="4" t="s">
        <v>675</v>
      </c>
      <c r="F40" s="4">
        <v>650</v>
      </c>
      <c r="G40" s="4"/>
      <c r="H40" s="4" t="s">
        <v>1604</v>
      </c>
      <c r="I40" s="4" t="s">
        <v>1393</v>
      </c>
      <c r="J40" s="4" t="s">
        <v>1605</v>
      </c>
      <c r="K40" s="4" t="s">
        <v>791</v>
      </c>
      <c r="L40" s="4" t="s">
        <v>383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1:52" ht="64" customHeight="1">
      <c r="A41" s="4" t="s">
        <v>1606</v>
      </c>
      <c r="B41" s="4" t="s">
        <v>691</v>
      </c>
      <c r="C41" s="4" t="s">
        <v>1607</v>
      </c>
      <c r="D41" s="4" t="s">
        <v>221</v>
      </c>
      <c r="E41" s="4" t="s">
        <v>1608</v>
      </c>
      <c r="F41" s="4">
        <v>700</v>
      </c>
      <c r="G41" s="4">
        <v>170</v>
      </c>
      <c r="H41" s="4" t="s">
        <v>1609</v>
      </c>
      <c r="I41" s="4" t="s">
        <v>1371</v>
      </c>
      <c r="J41" s="4" t="s">
        <v>1610</v>
      </c>
      <c r="K41" s="4" t="s">
        <v>1611</v>
      </c>
      <c r="L41" s="4" t="s">
        <v>383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spans="1:52" ht="64" customHeight="1">
      <c r="A42" s="4" t="s">
        <v>1612</v>
      </c>
      <c r="B42" s="4" t="s">
        <v>723</v>
      </c>
      <c r="C42" s="4" t="s">
        <v>1613</v>
      </c>
      <c r="D42" s="4" t="s">
        <v>221</v>
      </c>
      <c r="E42" s="4" t="s">
        <v>726</v>
      </c>
      <c r="F42" s="4">
        <v>700</v>
      </c>
      <c r="G42" s="4">
        <v>1079</v>
      </c>
      <c r="H42" s="4">
        <v>19.7</v>
      </c>
      <c r="I42" s="4" t="s">
        <v>1554</v>
      </c>
      <c r="J42" s="4" t="s">
        <v>1957</v>
      </c>
      <c r="K42" s="4" t="s">
        <v>1616</v>
      </c>
      <c r="L42" s="4" t="s">
        <v>383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spans="1:52" ht="64" customHeight="1">
      <c r="A43" s="4" t="s">
        <v>1617</v>
      </c>
      <c r="B43" s="4" t="s">
        <v>762</v>
      </c>
      <c r="C43" s="4" t="s">
        <v>1618</v>
      </c>
      <c r="D43" s="4" t="s">
        <v>1619</v>
      </c>
      <c r="E43" s="4" t="s">
        <v>1620</v>
      </c>
      <c r="F43" s="4">
        <v>650</v>
      </c>
      <c r="G43" s="4"/>
      <c r="H43" s="4" t="s">
        <v>1621</v>
      </c>
      <c r="I43" s="4" t="s">
        <v>1622</v>
      </c>
      <c r="J43" s="4" t="s">
        <v>1623</v>
      </c>
      <c r="K43" s="4" t="s">
        <v>1624</v>
      </c>
      <c r="L43" s="4" t="s">
        <v>383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 spans="1:52" ht="64" customHeight="1">
      <c r="A44" s="4" t="s">
        <v>1625</v>
      </c>
      <c r="B44" s="4" t="s">
        <v>1146</v>
      </c>
      <c r="C44" s="4" t="s">
        <v>1626</v>
      </c>
      <c r="D44" s="4" t="s">
        <v>1627</v>
      </c>
      <c r="E44" s="4" t="s">
        <v>1628</v>
      </c>
      <c r="F44" s="4"/>
      <c r="G44" s="4"/>
      <c r="H44" s="4" t="s">
        <v>1629</v>
      </c>
      <c r="I44" s="4" t="s">
        <v>1630</v>
      </c>
      <c r="J44" s="4" t="s">
        <v>1631</v>
      </c>
      <c r="K44" s="4" t="s">
        <v>1632</v>
      </c>
      <c r="L44" s="4" t="s">
        <v>1166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 spans="1:52" ht="64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 spans="1:52" ht="64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 spans="1:52" ht="64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 spans="1:52" ht="64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 spans="1:52" ht="64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 spans="1:52" ht="64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 spans="1:52" ht="64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 spans="1:52" ht="64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 spans="1:52" ht="64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 spans="1:52" ht="64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 spans="1:52" ht="64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 spans="1:52" ht="64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 spans="1:52" ht="64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 spans="1:52" ht="64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 spans="1:52" ht="64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 spans="1:52" ht="64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spans="1:52" ht="64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 spans="1:52" ht="64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 spans="1:52" ht="64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 spans="1:52" ht="64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 spans="1:52" ht="64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 spans="1:52" ht="64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 spans="1:52" ht="64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 spans="1:52" ht="64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 spans="1:52" ht="64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 spans="1:52" ht="64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 spans="1:52" ht="64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 spans="1:52" ht="64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 spans="1:52" ht="64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 spans="1:52" ht="64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 spans="1:52" ht="64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 spans="1:52" ht="64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 spans="1:52" ht="64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 spans="1:52" ht="64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 spans="1:52" ht="64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 spans="1:52" ht="64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  <row r="81" spans="1:52" ht="64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</row>
    <row r="82" spans="1:52" ht="64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</row>
    <row r="83" spans="1:52" ht="64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</row>
    <row r="84" spans="1:52" ht="64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</row>
    <row r="85" spans="1:52" ht="64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</row>
    <row r="86" spans="1:52" ht="64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</row>
    <row r="87" spans="1:52" ht="64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</row>
    <row r="88" spans="1:52" ht="64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</row>
    <row r="89" spans="1:52" ht="64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</row>
    <row r="90" spans="1:52" ht="64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</row>
    <row r="91" spans="1:52" ht="64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</row>
    <row r="92" spans="1:52" ht="64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</row>
    <row r="93" spans="1:52" ht="64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</row>
    <row r="94" spans="1:52" ht="64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</row>
    <row r="95" spans="1:52" ht="64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</row>
    <row r="96" spans="1:52" ht="64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</row>
    <row r="97" spans="1:52" ht="64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</row>
    <row r="98" spans="1:52" ht="64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</row>
    <row r="99" spans="1:52" ht="64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</row>
    <row r="100" spans="1:52" ht="64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</row>
    <row r="101" spans="1:52" ht="64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</row>
    <row r="102" spans="1:52" ht="64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</row>
    <row r="103" spans="1:52" ht="64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</row>
    <row r="104" spans="1:52" ht="64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</row>
    <row r="105" spans="1:52" ht="64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 spans="1:52" ht="64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</row>
    <row r="107" spans="1:52" ht="64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</row>
    <row r="108" spans="1:52" ht="64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</row>
    <row r="109" spans="1:52" ht="64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</row>
    <row r="110" spans="1:52" ht="64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</row>
    <row r="111" spans="1:52" ht="64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</row>
    <row r="112" spans="1:52" ht="64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</row>
    <row r="113" spans="1:52" ht="64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</row>
    <row r="114" spans="1:52" ht="64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</row>
    <row r="115" spans="1:52" ht="64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</row>
    <row r="116" spans="1:52" ht="64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</row>
    <row r="117" spans="1:52" ht="64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</row>
    <row r="118" spans="1:52" ht="64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</row>
    <row r="119" spans="1:52" ht="64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</row>
    <row r="120" spans="1:52" ht="64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</row>
    <row r="121" spans="1:52" ht="64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</row>
    <row r="122" spans="1:52" ht="64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</row>
    <row r="123" spans="1:52" ht="64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</row>
    <row r="124" spans="1:52" ht="64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</row>
    <row r="125" spans="1:52" ht="64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</row>
    <row r="126" spans="1:52" ht="64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</row>
    <row r="127" spans="1:52" ht="64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</row>
    <row r="128" spans="1:52" ht="64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</row>
    <row r="129" spans="1:52" ht="64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</row>
    <row r="130" spans="1:52" ht="64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</row>
    <row r="131" spans="1:52" ht="64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</row>
    <row r="132" spans="1:52" ht="64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</row>
    <row r="133" spans="1:52" ht="64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</row>
    <row r="134" spans="1:52" ht="64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</row>
    <row r="135" spans="1:52" ht="64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</row>
    <row r="136" spans="1:52" ht="64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</row>
    <row r="137" spans="1:52" ht="64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</row>
    <row r="138" spans="1:52" ht="64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</row>
    <row r="139" spans="1:52" ht="64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</row>
    <row r="140" spans="1:52" ht="64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</row>
    <row r="141" spans="1:52" ht="64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</row>
    <row r="142" spans="1:52" ht="64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</row>
    <row r="143" spans="1:52" ht="64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</row>
    <row r="144" spans="1:52" ht="64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</row>
    <row r="145" spans="1:52" ht="64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</row>
    <row r="146" spans="1:52" ht="64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</row>
    <row r="147" spans="1:52" ht="64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</row>
    <row r="148" spans="1:52" ht="64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</row>
    <row r="149" spans="1:52" ht="64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</row>
    <row r="150" spans="1:52" ht="64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</row>
    <row r="151" spans="1:52" ht="64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</row>
    <row r="152" spans="1:52" ht="64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</row>
    <row r="153" spans="1:52" ht="64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</row>
    <row r="154" spans="1:52" ht="64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</row>
    <row r="155" spans="1:52" ht="64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</row>
    <row r="156" spans="1:52" ht="64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</row>
    <row r="157" spans="1:52" ht="64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</row>
    <row r="158" spans="1:52" ht="64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</row>
    <row r="159" spans="1:52" ht="64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</row>
    <row r="160" spans="1:52" ht="64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</row>
    <row r="161" spans="1:52" ht="64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</row>
    <row r="162" spans="1:52" ht="64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</row>
    <row r="163" spans="1:52" ht="64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</row>
    <row r="164" spans="1:52" ht="64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</row>
    <row r="165" spans="1:52" ht="64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</row>
    <row r="166" spans="1:52" ht="64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</row>
    <row r="167" spans="1:52" ht="64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</row>
    <row r="168" spans="1:52" ht="64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</row>
    <row r="169" spans="1:52" ht="64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</row>
    <row r="170" spans="1:52" ht="64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</row>
    <row r="171" spans="1:52" ht="64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</row>
    <row r="172" spans="1:52" ht="64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</row>
    <row r="173" spans="1:52" ht="64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</row>
    <row r="174" spans="1:52" ht="64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</row>
    <row r="175" spans="1:52" ht="64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</row>
    <row r="176" spans="1:52" ht="64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</row>
    <row r="177" spans="1:52" ht="64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</row>
    <row r="178" spans="1:52" ht="64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</row>
    <row r="179" spans="1:52" ht="64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</row>
    <row r="180" spans="1:52" ht="64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</row>
    <row r="181" spans="1:52" ht="64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</row>
    <row r="182" spans="1:52" ht="64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</row>
    <row r="183" spans="1:52" ht="64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</row>
    <row r="184" spans="1:52" ht="64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</row>
    <row r="185" spans="1:52" ht="64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</row>
    <row r="186" spans="1:52" ht="64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</row>
    <row r="187" spans="1:52" ht="64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</row>
    <row r="188" spans="1:52" ht="64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</row>
    <row r="189" spans="1:52" ht="64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</row>
    <row r="190" spans="1:52" ht="64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</row>
    <row r="191" spans="1:52" ht="64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</row>
    <row r="192" spans="1:52" ht="64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</row>
    <row r="193" spans="1:52" ht="64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</row>
    <row r="194" spans="1:52" ht="64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</row>
    <row r="195" spans="1:52" ht="64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</row>
    <row r="196" spans="1:52" ht="64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</row>
    <row r="197" spans="1:52" ht="64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</row>
    <row r="198" spans="1:52" ht="64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</row>
    <row r="199" spans="1:52" ht="64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</row>
    <row r="200" spans="1:52" ht="64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</row>
    <row r="201" spans="1:52" ht="64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</row>
    <row r="202" spans="1:52" ht="64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</row>
    <row r="203" spans="1:52" ht="64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</row>
    <row r="204" spans="1:52" ht="64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</row>
    <row r="205" spans="1:52" ht="64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</row>
    <row r="206" spans="1:52" ht="64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</row>
    <row r="207" spans="1:52" ht="64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</row>
    <row r="208" spans="1:52" ht="64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</row>
    <row r="209" spans="1:52" ht="64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</row>
    <row r="210" spans="1:52" ht="64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</row>
    <row r="211" spans="1:52" ht="64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</row>
    <row r="212" spans="1:52" ht="64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</row>
    <row r="213" spans="1:52" ht="64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</row>
    <row r="214" spans="1:52" ht="64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</row>
    <row r="215" spans="1:52" ht="64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</row>
    <row r="216" spans="1:52" ht="64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</row>
    <row r="217" spans="1:52" ht="64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</row>
    <row r="218" spans="1:52" ht="64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</row>
    <row r="219" spans="1:52" ht="64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</row>
    <row r="220" spans="1:52" ht="64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</row>
    <row r="221" spans="1:52" ht="64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</row>
    <row r="222" spans="1:52" ht="64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</row>
    <row r="223" spans="1:52" ht="64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</row>
    <row r="224" spans="1:52" ht="64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</row>
    <row r="225" spans="1:52" ht="64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</row>
    <row r="226" spans="1:52" ht="64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</row>
    <row r="227" spans="1:52" ht="64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</row>
    <row r="228" spans="1:52" ht="64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</row>
    <row r="229" spans="1:52" ht="64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</row>
    <row r="230" spans="1:52" ht="64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</row>
    <row r="231" spans="1:52" ht="64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</row>
    <row r="232" spans="1:52" ht="64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</row>
    <row r="233" spans="1:52" ht="64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</row>
    <row r="234" spans="1:52" ht="64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</row>
    <row r="235" spans="1:52" ht="64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</row>
    <row r="236" spans="1:52" ht="64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</row>
    <row r="237" spans="1:52" ht="64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</row>
    <row r="238" spans="1:52" ht="64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</row>
    <row r="239" spans="1:52" ht="64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</row>
    <row r="240" spans="1:52" ht="64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</row>
    <row r="241" spans="1:52" ht="64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</row>
    <row r="242" spans="1:52" ht="64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</row>
    <row r="243" spans="1:52" ht="64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</row>
    <row r="244" spans="1:52" ht="64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</row>
    <row r="245" spans="1:52" ht="64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</row>
    <row r="246" spans="1:52" ht="64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</row>
    <row r="247" spans="1:52" ht="64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</row>
    <row r="248" spans="1:52" ht="64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</row>
    <row r="249" spans="1:52" ht="64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</row>
    <row r="250" spans="1:52" ht="64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</row>
    <row r="251" spans="1:52" ht="64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</row>
    <row r="252" spans="1:52" ht="64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</row>
    <row r="253" spans="1:52" ht="64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</row>
    <row r="254" spans="1:52" ht="64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</row>
    <row r="255" spans="1:52" ht="64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</row>
    <row r="256" spans="1:52" ht="64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</row>
    <row r="257" spans="1:52" ht="64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</row>
    <row r="258" spans="1:52" ht="64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</row>
    <row r="259" spans="1:52" ht="64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</row>
    <row r="260" spans="1:52" ht="64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</row>
    <row r="261" spans="1:52" ht="64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</row>
    <row r="262" spans="1:52" ht="64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</row>
    <row r="263" spans="1:52" ht="64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</row>
    <row r="264" spans="1:52" ht="64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</row>
    <row r="265" spans="1:52" ht="64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</row>
    <row r="266" spans="1:52" ht="64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</row>
    <row r="267" spans="1:52" ht="64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</row>
    <row r="268" spans="1:52" ht="64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</row>
    <row r="269" spans="1:52" ht="64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</row>
    <row r="270" spans="1:52" ht="64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</row>
    <row r="271" spans="1:52" ht="64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</row>
    <row r="272" spans="1:52" ht="64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</row>
    <row r="273" spans="1:52" ht="64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</row>
    <row r="274" spans="1:52" ht="64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</row>
    <row r="275" spans="1:52" ht="64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</row>
    <row r="276" spans="1:52" ht="64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</row>
    <row r="277" spans="1:52" ht="64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</row>
    <row r="278" spans="1:52" ht="64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</row>
    <row r="279" spans="1:52" ht="64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</row>
    <row r="280" spans="1:52" ht="64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</row>
    <row r="281" spans="1:52" ht="64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</row>
    <row r="282" spans="1:52" ht="64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</row>
    <row r="283" spans="1:52" ht="64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</row>
    <row r="284" spans="1:52" ht="64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</row>
    <row r="285" spans="1:52" ht="64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</row>
    <row r="286" spans="1:52" ht="64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</row>
    <row r="287" spans="1:52" ht="64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</row>
    <row r="288" spans="1:52" ht="64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</row>
    <row r="289" spans="1:52" ht="64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</row>
    <row r="290" spans="1:52" ht="64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</row>
    <row r="291" spans="1:52" ht="64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</row>
    <row r="292" spans="1:52" ht="64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</row>
    <row r="293" spans="1:52" ht="64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</row>
    <row r="294" spans="1:52" ht="64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</row>
    <row r="295" spans="1:52" ht="64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</row>
    <row r="296" spans="1:52" ht="64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</row>
    <row r="297" spans="1:52" ht="64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</row>
    <row r="298" spans="1:52" ht="64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</row>
    <row r="299" spans="1:52" ht="64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</row>
    <row r="300" spans="1:52" ht="64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</row>
    <row r="301" spans="1:52" ht="64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</row>
    <row r="302" spans="1:52" ht="64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</row>
    <row r="303" spans="1:52" ht="64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</row>
    <row r="304" spans="1:52" ht="64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</row>
    <row r="305" spans="1:52" ht="64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</row>
    <row r="306" spans="1:52" ht="64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</row>
    <row r="307" spans="1:52" ht="64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</row>
    <row r="308" spans="1:52" ht="64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</row>
    <row r="309" spans="1:52" ht="64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</row>
    <row r="310" spans="1:52" ht="64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</row>
    <row r="311" spans="1:52" ht="64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</row>
    <row r="312" spans="1:52" ht="64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</row>
    <row r="313" spans="1:52" ht="64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</row>
    <row r="314" spans="1:52" ht="64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</row>
    <row r="315" spans="1:52" ht="64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</row>
    <row r="316" spans="1:52" ht="64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</row>
    <row r="317" spans="1:52" ht="64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</row>
    <row r="318" spans="1:52" ht="64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</row>
    <row r="319" spans="1:52" ht="64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</row>
    <row r="320" spans="1:52" ht="64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</row>
    <row r="321" spans="1:52" ht="64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</row>
    <row r="322" spans="1:52" ht="64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</row>
    <row r="323" spans="1:52" ht="64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</row>
    <row r="324" spans="1:52" ht="64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</row>
    <row r="325" spans="1:52" ht="64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</row>
    <row r="326" spans="1:52" ht="64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</row>
    <row r="327" spans="1:52" ht="64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</row>
    <row r="328" spans="1:52" ht="64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</row>
    <row r="329" spans="1:52" ht="64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</row>
    <row r="330" spans="1:52" ht="64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</row>
    <row r="331" spans="1:52" ht="64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</row>
    <row r="332" spans="1:52" ht="64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</row>
    <row r="333" spans="1:52" ht="64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</row>
    <row r="334" spans="1:52" ht="64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</row>
    <row r="335" spans="1:52" ht="64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</row>
    <row r="336" spans="1:52" ht="64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</row>
    <row r="337" spans="1:52" ht="64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</row>
    <row r="338" spans="1:52" ht="64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</row>
    <row r="339" spans="1:52" ht="64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</row>
    <row r="340" spans="1:52" ht="64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</row>
    <row r="341" spans="1:52" ht="64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</row>
    <row r="342" spans="1:52" ht="64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</row>
    <row r="343" spans="1:52" ht="64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</row>
    <row r="344" spans="1:52" ht="64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</row>
    <row r="345" spans="1:52" ht="64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</row>
    <row r="346" spans="1:52" ht="64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</row>
    <row r="347" spans="1:52" ht="64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</row>
    <row r="348" spans="1:52" ht="64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</row>
    <row r="349" spans="1:52" ht="64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</row>
    <row r="350" spans="1:52" ht="64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</row>
    <row r="351" spans="1:52" ht="64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</row>
    <row r="352" spans="1:52" ht="64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</row>
    <row r="353" spans="1:52" ht="64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</row>
    <row r="354" spans="1:52" ht="64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</row>
    <row r="355" spans="1:52" ht="64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</row>
    <row r="356" spans="1:52" ht="64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</row>
    <row r="357" spans="1:52" ht="64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</row>
    <row r="358" spans="1:52" ht="64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</row>
    <row r="359" spans="1:52" ht="64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</row>
    <row r="360" spans="1:52" ht="64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</row>
    <row r="361" spans="1:52" ht="64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</row>
    <row r="362" spans="1:52" ht="64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</row>
    <row r="363" spans="1:52" ht="64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</row>
    <row r="364" spans="1:52" ht="64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</row>
    <row r="365" spans="1:52" ht="64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</row>
    <row r="366" spans="1:52" ht="64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</row>
    <row r="367" spans="1:52" ht="64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</row>
    <row r="368" spans="1:52" ht="64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</row>
    <row r="369" spans="1:52" ht="64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</row>
    <row r="370" spans="1:52" ht="64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</row>
    <row r="371" spans="1:52" ht="64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</row>
    <row r="372" spans="1:52" ht="64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</row>
    <row r="373" spans="1:52" ht="64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</row>
    <row r="374" spans="1:52" ht="64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</row>
    <row r="375" spans="1:52" ht="64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</row>
    <row r="376" spans="1:52" ht="64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</row>
    <row r="377" spans="1:52" ht="64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</row>
    <row r="378" spans="1:52" ht="64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</row>
    <row r="379" spans="1:52" ht="64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</row>
    <row r="380" spans="1:52" ht="64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</row>
    <row r="381" spans="1:52" ht="64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</row>
    <row r="382" spans="1:52" ht="64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</row>
    <row r="383" spans="1:52" ht="64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</row>
    <row r="384" spans="1:52" ht="64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</row>
    <row r="385" spans="1:52" ht="64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</row>
    <row r="386" spans="1:52" ht="64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</row>
    <row r="387" spans="1:52" ht="64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</row>
    <row r="388" spans="1:52" ht="64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</row>
    <row r="389" spans="1:52" ht="64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</row>
    <row r="390" spans="1:52" ht="64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</row>
    <row r="391" spans="1:52" ht="64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</row>
    <row r="392" spans="1:52" ht="64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</row>
    <row r="393" spans="1:52" ht="64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</row>
    <row r="394" spans="1:52" ht="64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</row>
    <row r="395" spans="1:52" ht="64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</row>
    <row r="396" spans="1:52" ht="64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</row>
    <row r="397" spans="1:52" ht="64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</row>
    <row r="398" spans="1:52" ht="64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</row>
    <row r="399" spans="1:52" ht="64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</row>
    <row r="400" spans="1:52" ht="64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</row>
    <row r="401" spans="1:52" ht="64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</row>
    <row r="402" spans="1:52" ht="64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</row>
    <row r="403" spans="1:52" ht="64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</row>
    <row r="404" spans="1:52" ht="64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</row>
    <row r="405" spans="1:52" ht="64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</row>
    <row r="406" spans="1:52" ht="64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</row>
    <row r="407" spans="1:52" ht="64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</row>
    <row r="408" spans="1:52" ht="64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</row>
    <row r="409" spans="1:52" ht="64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</row>
    <row r="410" spans="1:52" ht="64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</row>
    <row r="411" spans="1:52" ht="64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</row>
    <row r="412" spans="1:52" ht="64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</row>
    <row r="413" spans="1:52" ht="64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</row>
    <row r="414" spans="1:52" ht="64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</row>
    <row r="415" spans="1:52" ht="64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</row>
    <row r="416" spans="1:52" ht="64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</row>
    <row r="417" spans="1:52" ht="64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</row>
    <row r="418" spans="1:52" ht="64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</row>
    <row r="419" spans="1:52" ht="64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</row>
    <row r="420" spans="1:52" ht="64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</row>
    <row r="421" spans="1:52" ht="64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</row>
    <row r="422" spans="1:52" ht="64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</row>
    <row r="423" spans="1:52" ht="64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</row>
    <row r="424" spans="1:52" ht="64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</row>
    <row r="425" spans="1:52" ht="64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</row>
    <row r="426" spans="1:52" ht="64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</row>
    <row r="427" spans="1:52" ht="64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</row>
    <row r="428" spans="1:52" ht="64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</row>
    <row r="429" spans="1:52" ht="64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</row>
    <row r="430" spans="1:52" ht="64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</row>
    <row r="431" spans="1:52" ht="64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</row>
    <row r="432" spans="1:52" ht="64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</row>
    <row r="433" spans="1:52" ht="64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</row>
    <row r="434" spans="1:52" ht="64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</row>
    <row r="435" spans="1:52" ht="64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</row>
    <row r="436" spans="1:52" ht="64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</row>
    <row r="437" spans="1:52" ht="64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</row>
    <row r="438" spans="1:52" ht="64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</row>
    <row r="439" spans="1:52" ht="64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</row>
    <row r="440" spans="1:52" ht="64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</row>
    <row r="441" spans="1:52" ht="64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</row>
    <row r="442" spans="1:52" ht="64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</row>
    <row r="443" spans="1:52" ht="64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</row>
    <row r="444" spans="1:52" ht="64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</row>
    <row r="445" spans="1:52" ht="64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</row>
    <row r="446" spans="1:52" ht="64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</row>
    <row r="447" spans="1:52" ht="64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</row>
    <row r="448" spans="1:52" ht="64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</row>
    <row r="449" spans="1:52" ht="64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</row>
    <row r="450" spans="1:52" ht="64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</row>
    <row r="451" spans="1:52" ht="64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</row>
    <row r="452" spans="1:52" ht="64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</row>
    <row r="453" spans="1:52" ht="64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</row>
    <row r="454" spans="1:52" ht="64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</row>
    <row r="455" spans="1:52" ht="64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</row>
    <row r="456" spans="1:52" ht="64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</row>
    <row r="457" spans="1:52" ht="64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</row>
    <row r="458" spans="1:52" ht="64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</row>
    <row r="459" spans="1:52" ht="64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</row>
    <row r="460" spans="1:52" ht="64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</row>
    <row r="461" spans="1:52" ht="64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</row>
    <row r="462" spans="1:52" ht="64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</row>
    <row r="463" spans="1:52" ht="64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</row>
    <row r="464" spans="1:52" ht="64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</row>
    <row r="465" spans="1:52" ht="64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</row>
    <row r="466" spans="1:52" ht="64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</row>
    <row r="467" spans="1:52" ht="64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</row>
    <row r="468" spans="1:52" ht="64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</row>
    <row r="469" spans="1:52" ht="64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</row>
    <row r="470" spans="1:52" ht="64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</row>
    <row r="471" spans="1:52" ht="64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</row>
    <row r="472" spans="1:52" ht="64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</row>
    <row r="473" spans="1:52" ht="64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</row>
    <row r="474" spans="1:52" ht="64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</row>
    <row r="475" spans="1:52" ht="64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</row>
    <row r="476" spans="1:52" ht="64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</row>
    <row r="477" spans="1:52" ht="64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</row>
    <row r="478" spans="1:52" ht="64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</row>
    <row r="479" spans="1:52" ht="64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</row>
    <row r="480" spans="1:52" ht="64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</row>
    <row r="481" spans="1:52" ht="64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</row>
    <row r="482" spans="1:52" ht="64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</row>
    <row r="483" spans="1:52" ht="64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</row>
    <row r="484" spans="1:52" ht="64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</row>
    <row r="485" spans="1:52" ht="64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</row>
    <row r="486" spans="1:52" ht="64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</row>
    <row r="487" spans="1:52" ht="64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</row>
    <row r="488" spans="1:52" ht="64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</row>
    <row r="489" spans="1:52" ht="64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</row>
    <row r="490" spans="1:52" ht="64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</row>
    <row r="491" spans="1:52" ht="64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</row>
    <row r="492" spans="1:52" ht="64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</row>
    <row r="493" spans="1:52" ht="64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</row>
    <row r="494" spans="1:52" ht="64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</row>
    <row r="495" spans="1:52" ht="64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</row>
    <row r="496" spans="1:52" ht="64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</row>
    <row r="497" spans="1:52" ht="64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</row>
    <row r="498" spans="1:52" ht="64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</row>
    <row r="499" spans="1:52" ht="64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</row>
    <row r="500" spans="1:52" ht="64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</row>
    <row r="501" spans="1:52" ht="64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</row>
    <row r="502" spans="1:52" ht="64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</row>
    <row r="503" spans="1:52" ht="64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</row>
    <row r="504" spans="1:52" ht="64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</row>
    <row r="505" spans="1:52" ht="64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</row>
    <row r="506" spans="1:52" ht="64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</row>
    <row r="507" spans="1:52" ht="64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</row>
    <row r="508" spans="1:52" ht="64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</row>
    <row r="509" spans="1:52" ht="64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</row>
    <row r="510" spans="1:52" ht="64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</row>
    <row r="511" spans="1:52" ht="64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</row>
    <row r="512" spans="1:52" ht="64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</row>
    <row r="513" spans="1:52" ht="64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</row>
    <row r="514" spans="1:52" ht="64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</row>
    <row r="515" spans="1:52" ht="64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</row>
    <row r="516" spans="1:52" ht="64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</row>
    <row r="517" spans="1:52" ht="64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</row>
    <row r="518" spans="1:52" ht="64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</row>
    <row r="519" spans="1:52" ht="64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</row>
    <row r="520" spans="1:52" ht="64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</row>
    <row r="521" spans="1:52" ht="64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</row>
    <row r="522" spans="1:52" ht="64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</row>
    <row r="523" spans="1:52" ht="64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</row>
    <row r="524" spans="1:52" ht="64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</row>
    <row r="525" spans="1:52" ht="64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</row>
    <row r="526" spans="1:52" ht="64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</row>
    <row r="527" spans="1:52" ht="64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</row>
    <row r="528" spans="1:52" ht="64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</row>
    <row r="529" spans="1:52" ht="64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</row>
    <row r="530" spans="1:52" ht="64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</row>
    <row r="531" spans="1:52" ht="64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</row>
    <row r="532" spans="1:52" ht="64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</row>
    <row r="533" spans="1:52" ht="64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</row>
    <row r="534" spans="1:52" ht="64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</row>
    <row r="535" spans="1:52" ht="64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</row>
    <row r="536" spans="1:52" ht="64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</row>
    <row r="537" spans="1:52" ht="64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</row>
    <row r="538" spans="1:52" ht="64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</row>
    <row r="539" spans="1:52" ht="64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</row>
    <row r="540" spans="1:52" ht="64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</row>
    <row r="541" spans="1:52" ht="64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</row>
    <row r="542" spans="1:52" ht="64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</row>
    <row r="543" spans="1:52" ht="64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</row>
    <row r="544" spans="1:52" ht="64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</row>
    <row r="545" spans="1:52" ht="64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</row>
    <row r="546" spans="1:52" ht="64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</row>
    <row r="547" spans="1:52" ht="64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</row>
    <row r="548" spans="1:52" ht="64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</row>
    <row r="549" spans="1:52" ht="64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</row>
    <row r="550" spans="1:52" ht="64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</row>
    <row r="551" spans="1:52" ht="64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</row>
    <row r="552" spans="1:52" ht="64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</row>
    <row r="553" spans="1:52" ht="64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</row>
    <row r="554" spans="1:52" ht="64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</row>
    <row r="555" spans="1:52" ht="64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</row>
    <row r="556" spans="1:52" ht="64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</row>
    <row r="557" spans="1:52" ht="64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</row>
    <row r="558" spans="1:52" ht="64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</row>
    <row r="559" spans="1:52" ht="64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</row>
    <row r="560" spans="1:52" ht="64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</row>
    <row r="561" spans="1:52" ht="64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</row>
    <row r="562" spans="1:52" ht="64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</row>
    <row r="563" spans="1:52" ht="64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</row>
    <row r="564" spans="1:52" ht="64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</row>
    <row r="565" spans="1:52" ht="64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</row>
    <row r="566" spans="1:52" ht="64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</row>
    <row r="567" spans="1:52" ht="64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</row>
    <row r="568" spans="1:52" ht="64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</row>
    <row r="569" spans="1:52" ht="64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</row>
    <row r="570" spans="1:52" ht="64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</row>
    <row r="571" spans="1:52" ht="64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</row>
    <row r="572" spans="1:52" ht="64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</row>
    <row r="573" spans="1:52" ht="64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</row>
    <row r="574" spans="1:52" ht="64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</row>
    <row r="575" spans="1:52" ht="64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</row>
    <row r="576" spans="1:52" ht="64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</row>
    <row r="577" spans="1:52" ht="64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</row>
    <row r="578" spans="1:52" ht="64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</row>
    <row r="579" spans="1:52" ht="64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</row>
    <row r="580" spans="1:52" ht="64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</row>
    <row r="581" spans="1:52" ht="64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</row>
    <row r="582" spans="1:52" ht="64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</row>
    <row r="583" spans="1:52" ht="64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</row>
    <row r="584" spans="1:52" ht="64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</row>
    <row r="585" spans="1:52" ht="64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</row>
    <row r="586" spans="1:52" ht="64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</row>
    <row r="587" spans="1:52" ht="64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</row>
    <row r="588" spans="1:52" ht="64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</row>
    <row r="589" spans="1:52" ht="64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</row>
    <row r="590" spans="1:52" ht="64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</row>
    <row r="591" spans="1:52" ht="64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</row>
    <row r="592" spans="1:52" ht="64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</row>
    <row r="593" spans="1:52" ht="64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</row>
    <row r="594" spans="1:52" ht="64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</row>
    <row r="595" spans="1:52" ht="64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</row>
    <row r="596" spans="1:52" ht="64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</row>
    <row r="597" spans="1:52" ht="64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</row>
    <row r="598" spans="1:52" ht="64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</row>
    <row r="599" spans="1:52" ht="64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</row>
    <row r="600" spans="1:52" ht="64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</row>
    <row r="601" spans="1:52" ht="64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</row>
    <row r="602" spans="1:52" ht="64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</row>
    <row r="603" spans="1:52" ht="64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</row>
    <row r="604" spans="1:52" ht="64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</row>
    <row r="605" spans="1:52" ht="64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</row>
    <row r="606" spans="1:52" ht="64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</row>
    <row r="607" spans="1:52" ht="64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</row>
    <row r="608" spans="1:52" ht="64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</row>
    <row r="609" spans="1:52" ht="64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</row>
    <row r="610" spans="1:52" ht="64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</row>
    <row r="611" spans="1:52" ht="64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</row>
    <row r="612" spans="1:52" ht="64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</row>
    <row r="613" spans="1:52" ht="64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</row>
    <row r="614" spans="1:52" ht="64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</row>
    <row r="615" spans="1:52" ht="64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</row>
    <row r="616" spans="1:52" ht="64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</row>
    <row r="617" spans="1:52" ht="64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</row>
    <row r="618" spans="1:52" ht="64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</row>
    <row r="619" spans="1:52" ht="64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</row>
    <row r="620" spans="1:52" ht="64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</row>
    <row r="621" spans="1:52" ht="64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</row>
    <row r="622" spans="1:52" ht="64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</row>
    <row r="623" spans="1:52" ht="64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</row>
    <row r="624" spans="1:52" ht="64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</row>
    <row r="625" spans="1:52" ht="64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</row>
    <row r="626" spans="1:52" ht="64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</row>
    <row r="627" spans="1:52" ht="64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</row>
    <row r="628" spans="1:52" ht="64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</row>
    <row r="629" spans="1:52" ht="64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</row>
    <row r="630" spans="1:52" ht="64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</row>
    <row r="631" spans="1:52" ht="64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</row>
    <row r="632" spans="1:52" ht="64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</row>
    <row r="633" spans="1:52" ht="64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</row>
    <row r="634" spans="1:52" ht="64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</row>
    <row r="635" spans="1:52" ht="64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</row>
    <row r="636" spans="1:52" ht="64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</row>
    <row r="637" spans="1:52" ht="64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</row>
    <row r="638" spans="1:52" ht="64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</row>
    <row r="639" spans="1:52" ht="64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</row>
    <row r="640" spans="1:52" ht="64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</row>
    <row r="641" spans="1:52" ht="64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</row>
    <row r="642" spans="1:52" ht="64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</row>
    <row r="643" spans="1:52" ht="64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</row>
    <row r="644" spans="1:52" ht="64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</row>
    <row r="645" spans="1:52" ht="64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</row>
    <row r="646" spans="1:52" ht="64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</row>
    <row r="647" spans="1:52" ht="64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</row>
    <row r="648" spans="1:52" ht="64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</row>
    <row r="649" spans="1:52" ht="64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</row>
    <row r="650" spans="1:52" ht="64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</row>
    <row r="651" spans="1:52" ht="64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</row>
    <row r="652" spans="1:52" ht="64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</row>
    <row r="653" spans="1:52" ht="64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</row>
    <row r="654" spans="1:52" ht="64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</row>
    <row r="655" spans="1:52" ht="64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</row>
    <row r="656" spans="1:52" ht="64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</row>
    <row r="657" spans="1:52" ht="64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</row>
    <row r="658" spans="1:52" ht="64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</row>
    <row r="659" spans="1:52" ht="64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</row>
    <row r="660" spans="1:52" ht="64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</row>
    <row r="661" spans="1:52" ht="64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</row>
    <row r="662" spans="1:52" ht="64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</row>
    <row r="663" spans="1:52" ht="64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</row>
    <row r="664" spans="1:52" ht="64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</row>
    <row r="665" spans="1:52" ht="64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</row>
    <row r="666" spans="1:52" ht="64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</row>
    <row r="667" spans="1:52" ht="64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</row>
    <row r="668" spans="1:52" ht="64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</row>
    <row r="669" spans="1:52" ht="64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</row>
    <row r="670" spans="1:52" ht="64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</row>
    <row r="671" spans="1:52" ht="64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</row>
    <row r="672" spans="1:52" ht="64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</row>
    <row r="673" spans="1:52" ht="64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</row>
    <row r="674" spans="1:52" ht="64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</row>
    <row r="675" spans="1:52" ht="64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</row>
    <row r="676" spans="1:52" ht="64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</row>
    <row r="677" spans="1:52" ht="64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</row>
    <row r="678" spans="1:52" ht="64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</row>
    <row r="679" spans="1:52" ht="64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</row>
    <row r="680" spans="1:52" ht="64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</row>
    <row r="681" spans="1:52" ht="64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</row>
    <row r="682" spans="1:52" ht="64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</row>
    <row r="683" spans="1:52" ht="64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</row>
    <row r="684" spans="1:52" ht="64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</row>
    <row r="685" spans="1:52" ht="64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</row>
    <row r="686" spans="1:52" ht="64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</row>
    <row r="687" spans="1:52" ht="64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</row>
    <row r="688" spans="1:52" ht="64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</row>
    <row r="689" spans="1:52" ht="64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</row>
    <row r="690" spans="1:52" ht="64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</row>
    <row r="691" spans="1:52" ht="64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</row>
    <row r="692" spans="1:52" ht="64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</row>
    <row r="693" spans="1:52" ht="64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</row>
    <row r="694" spans="1:52" ht="64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</row>
    <row r="695" spans="1:52" ht="64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</row>
    <row r="696" spans="1:52" ht="64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</row>
    <row r="697" spans="1:52" ht="64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</row>
    <row r="698" spans="1:52" ht="64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</row>
    <row r="699" spans="1:52" ht="64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</row>
    <row r="700" spans="1:52" ht="64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</row>
    <row r="701" spans="1:52" ht="64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</row>
    <row r="702" spans="1:52" ht="64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</row>
    <row r="703" spans="1:52" ht="64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</row>
    <row r="704" spans="1:52" ht="64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</row>
    <row r="705" spans="1:52" ht="64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</row>
    <row r="706" spans="1:52" ht="64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</row>
    <row r="707" spans="1:52" ht="64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</row>
    <row r="708" spans="1:52" ht="64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</row>
    <row r="709" spans="1:52" ht="64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</row>
    <row r="710" spans="1:52" ht="64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</row>
    <row r="711" spans="1:52" ht="64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</row>
    <row r="712" spans="1:52" ht="64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</row>
    <row r="713" spans="1:52" ht="64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</row>
    <row r="714" spans="1:52" ht="64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</row>
    <row r="715" spans="1:52" ht="64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</row>
    <row r="716" spans="1:52" ht="64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</row>
    <row r="717" spans="1:52" ht="64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</row>
    <row r="718" spans="1:52" ht="64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</row>
    <row r="719" spans="1:52" ht="64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</row>
    <row r="720" spans="1:52" ht="64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</row>
    <row r="721" spans="1:52" ht="64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</row>
    <row r="722" spans="1:52" ht="64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</row>
    <row r="723" spans="1:52" ht="64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</row>
    <row r="724" spans="1:52" ht="64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</row>
    <row r="725" spans="1:52" ht="64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</row>
    <row r="726" spans="1:52" ht="64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</row>
    <row r="727" spans="1:52" ht="64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</row>
    <row r="728" spans="1:52" ht="64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</row>
    <row r="729" spans="1:52" ht="64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</row>
    <row r="730" spans="1:52" ht="64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</row>
    <row r="731" spans="1:52" ht="64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</row>
    <row r="732" spans="1:52" ht="64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</row>
    <row r="733" spans="1:52" ht="64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</row>
    <row r="734" spans="1:52" ht="64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</row>
    <row r="735" spans="1:52" ht="64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</row>
    <row r="736" spans="1:52" ht="64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</row>
    <row r="737" spans="1:52" ht="64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</row>
    <row r="738" spans="1:52" ht="64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</row>
    <row r="739" spans="1:52" ht="64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</row>
    <row r="740" spans="1:52" ht="64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</row>
    <row r="741" spans="1:52" ht="64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</row>
    <row r="742" spans="1:52" ht="64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</row>
    <row r="743" spans="1:52" ht="64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</row>
    <row r="744" spans="1:52" ht="64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</row>
    <row r="745" spans="1:52" ht="64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</row>
    <row r="746" spans="1:52" ht="64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</row>
    <row r="747" spans="1:52" ht="64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</row>
    <row r="748" spans="1:52" ht="64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</row>
    <row r="749" spans="1:52" ht="64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</row>
    <row r="750" spans="1:52" ht="64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</row>
    <row r="751" spans="1:52" ht="64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</row>
    <row r="752" spans="1:52" ht="64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</row>
    <row r="753" spans="1:52" ht="64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</row>
    <row r="754" spans="1:52" ht="64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</row>
    <row r="755" spans="1:52" ht="64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</row>
    <row r="756" spans="1:52" ht="64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</row>
    <row r="757" spans="1:52" ht="64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</row>
    <row r="758" spans="1:52" ht="64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</row>
    <row r="759" spans="1:52" ht="64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</row>
    <row r="760" spans="1:52" ht="64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</row>
    <row r="761" spans="1:52" ht="64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</row>
    <row r="762" spans="1:52" ht="64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</row>
    <row r="763" spans="1:52" ht="64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</row>
    <row r="764" spans="1:52" ht="64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</row>
    <row r="765" spans="1:52" ht="64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</row>
    <row r="766" spans="1:52" ht="64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</row>
    <row r="767" spans="1:52" ht="64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</row>
    <row r="768" spans="1:52" ht="64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</row>
    <row r="769" spans="1:52" ht="64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</row>
    <row r="770" spans="1:52" ht="64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</row>
    <row r="771" spans="1:52" ht="64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</row>
    <row r="772" spans="1:52" ht="64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</row>
    <row r="773" spans="1:52" ht="64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</row>
    <row r="774" spans="1:52" ht="64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</row>
    <row r="775" spans="1:52" ht="64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</row>
    <row r="776" spans="1:52" ht="64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</row>
    <row r="777" spans="1:52" ht="64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</row>
    <row r="778" spans="1:52" ht="64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</row>
    <row r="779" spans="1:52" ht="64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</row>
    <row r="780" spans="1:52" ht="64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</row>
    <row r="781" spans="1:52" ht="64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</row>
    <row r="782" spans="1:52" ht="64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</row>
    <row r="783" spans="1:52" ht="64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</row>
    <row r="784" spans="1:52" ht="64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</row>
    <row r="785" spans="1:52" ht="64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</row>
    <row r="786" spans="1:52" ht="64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</row>
    <row r="787" spans="1:52" ht="64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</row>
    <row r="788" spans="1:52" ht="64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</row>
    <row r="789" spans="1:52" ht="64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</row>
    <row r="790" spans="1:52" ht="64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</row>
    <row r="791" spans="1:52" ht="64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</row>
    <row r="792" spans="1:52" ht="64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</row>
    <row r="793" spans="1:52" ht="64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</row>
    <row r="794" spans="1:52" ht="64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</row>
    <row r="795" spans="1:52" ht="64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</row>
    <row r="796" spans="1:52" ht="64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</row>
    <row r="797" spans="1:52" ht="64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</row>
    <row r="798" spans="1:52" ht="64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</row>
    <row r="799" spans="1:52" ht="64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</row>
    <row r="800" spans="1:52" ht="64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</row>
    <row r="801" spans="1:52" ht="64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</row>
    <row r="802" spans="1:52" ht="64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</row>
    <row r="803" spans="1:52" ht="64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</row>
    <row r="804" spans="1:52" ht="64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</row>
    <row r="805" spans="1:52" ht="64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</row>
    <row r="806" spans="1:52" ht="64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</row>
    <row r="807" spans="1:52" ht="64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</row>
    <row r="808" spans="1:52" ht="64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</row>
    <row r="809" spans="1:52" ht="64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</row>
    <row r="810" spans="1:52" ht="64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</row>
    <row r="811" spans="1:52" ht="64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</row>
    <row r="812" spans="1:52" ht="64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</row>
    <row r="813" spans="1:52" ht="64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</row>
    <row r="814" spans="1:52" ht="64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</row>
    <row r="815" spans="1:52" ht="64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</row>
    <row r="816" spans="1:52" ht="64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</row>
    <row r="817" spans="1:52" ht="64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</row>
    <row r="818" spans="1:52" ht="64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</row>
    <row r="819" spans="1:52" ht="64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</row>
    <row r="820" spans="1:52" ht="64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</row>
    <row r="821" spans="1:52" ht="64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</row>
    <row r="822" spans="1:52" ht="64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</row>
    <row r="823" spans="1:52" ht="64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</row>
    <row r="824" spans="1:52" ht="64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</row>
    <row r="825" spans="1:52" ht="64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</row>
    <row r="826" spans="1:52" ht="64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</row>
    <row r="827" spans="1:52" ht="64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</row>
    <row r="828" spans="1:52" ht="64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</row>
    <row r="829" spans="1:52" ht="64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</row>
    <row r="830" spans="1:52" ht="64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</row>
    <row r="831" spans="1:52" ht="64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</row>
    <row r="832" spans="1:52" ht="64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</row>
    <row r="833" spans="1:52" ht="64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</row>
    <row r="834" spans="1:52" ht="64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</row>
    <row r="835" spans="1:52" ht="64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</row>
    <row r="836" spans="1:52" ht="64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</row>
    <row r="837" spans="1:52" ht="64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</row>
    <row r="838" spans="1:52" ht="64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</row>
    <row r="839" spans="1:52" ht="64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</row>
    <row r="840" spans="1:52" ht="64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</row>
    <row r="841" spans="1:52" ht="64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</row>
    <row r="842" spans="1:52" ht="64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</row>
    <row r="843" spans="1:52" ht="64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</row>
    <row r="844" spans="1:52" ht="64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</row>
    <row r="845" spans="1:52" ht="64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</row>
    <row r="846" spans="1:52" ht="64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</row>
    <row r="847" spans="1:52" ht="64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</row>
    <row r="848" spans="1:52" ht="64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</row>
    <row r="849" spans="1:52" ht="64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</row>
    <row r="850" spans="1:52" ht="64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</row>
    <row r="851" spans="1:52" ht="64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</row>
    <row r="852" spans="1:52" ht="64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</row>
    <row r="853" spans="1:52" ht="64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</row>
    <row r="854" spans="1:52" ht="64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</row>
    <row r="855" spans="1:52" ht="64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</row>
    <row r="856" spans="1:52" ht="64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</row>
    <row r="857" spans="1:52" ht="64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</row>
    <row r="858" spans="1:52" ht="64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</row>
    <row r="859" spans="1:52" ht="64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</row>
    <row r="860" spans="1:52" ht="64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</row>
    <row r="861" spans="1:52" ht="64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</row>
    <row r="862" spans="1:52" ht="64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</row>
    <row r="863" spans="1:52" ht="64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</row>
    <row r="864" spans="1:52" ht="64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</row>
    <row r="865" spans="1:52" ht="64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</row>
    <row r="866" spans="1:52" ht="64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</row>
    <row r="867" spans="1:52" ht="64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</row>
    <row r="868" spans="1:52" ht="64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</row>
    <row r="869" spans="1:52" ht="64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</row>
    <row r="870" spans="1:52" ht="64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</row>
    <row r="871" spans="1:52" ht="64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</row>
    <row r="872" spans="1:52" ht="64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</row>
    <row r="873" spans="1:52" ht="64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</row>
    <row r="874" spans="1:52" ht="64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</row>
    <row r="875" spans="1:52" ht="64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</row>
    <row r="876" spans="1:52" ht="64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</row>
    <row r="877" spans="1:52" ht="64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</row>
    <row r="878" spans="1:52" ht="64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</row>
    <row r="879" spans="1:52" ht="64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</row>
    <row r="880" spans="1:52" ht="64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</row>
    <row r="881" spans="1:52" ht="64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</row>
    <row r="882" spans="1:52" ht="64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</row>
    <row r="883" spans="1:52" ht="64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</row>
    <row r="884" spans="1:52" ht="64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</row>
    <row r="885" spans="1:52" ht="64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</row>
    <row r="886" spans="1:52" ht="64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</row>
    <row r="887" spans="1:52" ht="64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</row>
    <row r="888" spans="1:52" ht="64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</row>
    <row r="889" spans="1:52" ht="64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</row>
    <row r="890" spans="1:52" ht="64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</row>
    <row r="891" spans="1:52" ht="64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</row>
    <row r="892" spans="1:52" ht="64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</row>
    <row r="893" spans="1:52" ht="64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</row>
    <row r="894" spans="1:52" ht="64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</row>
    <row r="895" spans="1:52" ht="64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</row>
    <row r="896" spans="1:52" ht="64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</row>
    <row r="897" spans="1:52" ht="64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</row>
    <row r="898" spans="1:52" ht="64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</row>
    <row r="899" spans="1:52" ht="64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</row>
    <row r="900" spans="1:52" ht="64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</row>
    <row r="901" spans="1:52" ht="64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</row>
    <row r="902" spans="1:52" ht="64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</row>
    <row r="903" spans="1:52" ht="64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</row>
    <row r="904" spans="1:52" ht="64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</row>
    <row r="905" spans="1:52" ht="64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</row>
    <row r="906" spans="1:52" ht="64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</row>
    <row r="907" spans="1:52" ht="64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</row>
    <row r="908" spans="1:52" ht="64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</row>
    <row r="909" spans="1:52" ht="64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</row>
    <row r="910" spans="1:52" ht="64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</row>
    <row r="911" spans="1:52" ht="64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</row>
    <row r="912" spans="1:52" ht="64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</row>
    <row r="913" spans="1:52" ht="64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</row>
    <row r="914" spans="1:52" ht="64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</row>
    <row r="915" spans="1:52" ht="64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</row>
    <row r="916" spans="1:52" ht="64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</row>
    <row r="917" spans="1:52" ht="64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</row>
    <row r="918" spans="1:52" ht="64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</row>
    <row r="919" spans="1:52" ht="64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</row>
    <row r="920" spans="1:52" ht="64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</row>
    <row r="921" spans="1:52" ht="64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</row>
    <row r="922" spans="1:52" ht="64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</row>
    <row r="923" spans="1:52" ht="64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</row>
    <row r="924" spans="1:52" ht="64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</row>
    <row r="925" spans="1:52" ht="64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</row>
    <row r="926" spans="1:52" ht="64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</row>
    <row r="927" spans="1:52" ht="64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</row>
    <row r="928" spans="1:52" ht="64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</row>
    <row r="929" spans="1:52" ht="64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</row>
    <row r="930" spans="1:52" ht="64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</row>
    <row r="931" spans="1:52" ht="64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</row>
    <row r="932" spans="1:52" ht="64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</row>
    <row r="933" spans="1:52" ht="64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</row>
    <row r="934" spans="1:52" ht="64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</row>
    <row r="935" spans="1:52" ht="64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</row>
    <row r="936" spans="1:52" ht="64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</row>
    <row r="937" spans="1:52" ht="64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</row>
    <row r="938" spans="1:52" ht="64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</row>
    <row r="939" spans="1:52" ht="64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</row>
    <row r="940" spans="1:52" ht="64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</row>
    <row r="941" spans="1:52" ht="64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</row>
    <row r="942" spans="1:52" ht="64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</row>
    <row r="943" spans="1:52" ht="64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</row>
    <row r="944" spans="1:52" ht="64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</row>
    <row r="945" spans="1:52" ht="64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</row>
    <row r="946" spans="1:52" ht="64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</row>
    <row r="947" spans="1:52" ht="64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</row>
    <row r="948" spans="1:52" ht="64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</row>
    <row r="949" spans="1:52" ht="64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</row>
    <row r="950" spans="1:52" ht="64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</row>
    <row r="951" spans="1:52" ht="64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</row>
    <row r="952" spans="1:52" ht="64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</row>
    <row r="953" spans="1:52" ht="64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</row>
    <row r="954" spans="1:52" ht="64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</row>
    <row r="955" spans="1:52" ht="64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</row>
    <row r="956" spans="1:52" ht="64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</row>
    <row r="957" spans="1:52" ht="64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</row>
    <row r="958" spans="1:52" ht="64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</row>
    <row r="959" spans="1:52" ht="64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</row>
    <row r="960" spans="1:52" ht="64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</row>
    <row r="961" spans="1:52" ht="64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</row>
    <row r="962" spans="1:52" ht="64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</row>
    <row r="963" spans="1:52" ht="64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</row>
    <row r="964" spans="1:52" ht="64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</row>
    <row r="965" spans="1:52" ht="64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</row>
    <row r="966" spans="1:52" ht="64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</row>
    <row r="967" spans="1:52" ht="64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</row>
    <row r="968" spans="1:52" ht="64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</row>
    <row r="969" spans="1:52" ht="64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</row>
    <row r="970" spans="1:52" ht="64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</row>
    <row r="971" spans="1:52" ht="64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</row>
    <row r="972" spans="1:52" ht="64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</row>
    <row r="973" spans="1:52" ht="64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</row>
    <row r="974" spans="1:52" ht="64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</row>
    <row r="975" spans="1:52" ht="64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</row>
    <row r="976" spans="1:52" ht="64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</row>
    <row r="977" spans="1:52" ht="64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</row>
    <row r="978" spans="1:52" ht="64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</row>
    <row r="979" spans="1:52" ht="64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</row>
    <row r="980" spans="1:52" ht="64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</row>
    <row r="981" spans="1:52" ht="64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</row>
    <row r="982" spans="1:52" ht="64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</row>
    <row r="983" spans="1:52" ht="64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</row>
    <row r="984" spans="1:52" ht="64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</row>
    <row r="985" spans="1:52" ht="64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</row>
    <row r="986" spans="1:52" ht="64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</row>
    <row r="987" spans="1:52" ht="64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</row>
    <row r="988" spans="1:52" ht="64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</row>
    <row r="989" spans="1:52" ht="64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</row>
    <row r="990" spans="1:52" ht="64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</row>
    <row r="991" spans="1:52" ht="64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</row>
    <row r="992" spans="1:52" ht="64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</row>
    <row r="993" spans="1:52" ht="64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</row>
    <row r="994" spans="1:52" ht="64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</row>
    <row r="995" spans="1:52" ht="64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</row>
    <row r="996" spans="1:52" ht="64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</row>
    <row r="997" spans="1:52" ht="64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</row>
    <row r="998" spans="1:52" ht="64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</row>
    <row r="999" spans="1:52" ht="64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</row>
    <row r="1000" spans="1:52" ht="64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1000"/>
  <sheetViews>
    <sheetView workbookViewId="0"/>
  </sheetViews>
  <sheetFormatPr baseColWidth="10" defaultColWidth="8.83203125" defaultRowHeight="15"/>
  <cols>
    <col min="1" max="1" width="22" customWidth="1"/>
    <col min="2" max="2" width="42" customWidth="1"/>
    <col min="3" max="3" width="10" customWidth="1"/>
    <col min="4" max="4" width="18" customWidth="1"/>
    <col min="5" max="5" width="36" customWidth="1"/>
    <col min="6" max="6" width="40" customWidth="1"/>
    <col min="7" max="7" width="46" customWidth="1"/>
    <col min="8" max="8" width="18" customWidth="1"/>
    <col min="9" max="9" width="52" customWidth="1"/>
    <col min="10" max="10" width="42" customWidth="1"/>
  </cols>
  <sheetData>
    <row r="1" spans="1:52" ht="45.25" customHeight="1">
      <c r="A1" s="5" t="s">
        <v>30</v>
      </c>
      <c r="B1" s="5" t="s">
        <v>1633</v>
      </c>
      <c r="C1" s="5" t="s">
        <v>1634</v>
      </c>
      <c r="D1" s="5" t="s">
        <v>1635</v>
      </c>
      <c r="E1" s="5" t="s">
        <v>1636</v>
      </c>
      <c r="F1" s="5" t="s">
        <v>1637</v>
      </c>
      <c r="G1" s="5" t="s">
        <v>1638</v>
      </c>
      <c r="H1" s="5" t="s">
        <v>1639</v>
      </c>
      <c r="I1" s="5" t="s">
        <v>99</v>
      </c>
      <c r="J1" s="5" t="s">
        <v>1640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2" ht="64" customHeight="1">
      <c r="A2" s="4" t="s">
        <v>102</v>
      </c>
      <c r="B2" s="4" t="s">
        <v>103</v>
      </c>
      <c r="C2" s="4">
        <v>1967</v>
      </c>
      <c r="D2" s="4" t="s">
        <v>1641</v>
      </c>
      <c r="E2" s="4" t="s">
        <v>1642</v>
      </c>
      <c r="F2" s="4" t="s">
        <v>100</v>
      </c>
      <c r="G2" s="4" t="s">
        <v>1643</v>
      </c>
      <c r="H2" s="4" t="s">
        <v>101</v>
      </c>
      <c r="I2" s="4" t="s">
        <v>124</v>
      </c>
      <c r="J2" s="4" t="s">
        <v>1644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:52" ht="64" customHeight="1">
      <c r="A3" s="4" t="s">
        <v>126</v>
      </c>
      <c r="B3" s="4" t="s">
        <v>1645</v>
      </c>
      <c r="C3" s="4">
        <v>1969</v>
      </c>
      <c r="D3" s="4" t="s">
        <v>1641</v>
      </c>
      <c r="E3" s="4" t="s">
        <v>1646</v>
      </c>
      <c r="F3" s="4" t="s">
        <v>1647</v>
      </c>
      <c r="G3" s="4" t="s">
        <v>1648</v>
      </c>
      <c r="H3" s="4" t="s">
        <v>101</v>
      </c>
      <c r="I3" s="4" t="s">
        <v>142</v>
      </c>
      <c r="J3" s="4" t="s">
        <v>1649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 spans="1:52" ht="64" customHeight="1">
      <c r="A4" s="4" t="s">
        <v>163</v>
      </c>
      <c r="B4" s="4" t="s">
        <v>1650</v>
      </c>
      <c r="C4" s="4">
        <v>1970</v>
      </c>
      <c r="D4" s="4" t="s">
        <v>1641</v>
      </c>
      <c r="E4" s="4" t="s">
        <v>1651</v>
      </c>
      <c r="F4" s="4" t="s">
        <v>1652</v>
      </c>
      <c r="G4" s="4" t="s">
        <v>1653</v>
      </c>
      <c r="H4" s="4" t="s">
        <v>101</v>
      </c>
      <c r="I4" s="4" t="s">
        <v>175</v>
      </c>
      <c r="J4" s="4" t="s">
        <v>1654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1:52" ht="64" customHeight="1">
      <c r="A5" s="4" t="s">
        <v>196</v>
      </c>
      <c r="B5" s="4" t="s">
        <v>1655</v>
      </c>
      <c r="C5" s="4">
        <v>1971</v>
      </c>
      <c r="D5" s="4" t="s">
        <v>1641</v>
      </c>
      <c r="E5" s="4" t="s">
        <v>1656</v>
      </c>
      <c r="F5" s="4" t="s">
        <v>1657</v>
      </c>
      <c r="G5" s="4" t="s">
        <v>1658</v>
      </c>
      <c r="H5" s="4" t="s">
        <v>101</v>
      </c>
      <c r="I5" s="4" t="s">
        <v>208</v>
      </c>
      <c r="J5" s="4" t="s">
        <v>1659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52" ht="64" customHeight="1">
      <c r="A6" s="4" t="s">
        <v>252</v>
      </c>
      <c r="B6" s="4" t="s">
        <v>1660</v>
      </c>
      <c r="C6" s="4">
        <v>1975</v>
      </c>
      <c r="D6" s="4" t="s">
        <v>1641</v>
      </c>
      <c r="E6" s="4" t="s">
        <v>1661</v>
      </c>
      <c r="F6" s="4" t="s">
        <v>1662</v>
      </c>
      <c r="G6" s="4" t="s">
        <v>1663</v>
      </c>
      <c r="H6" s="4" t="s">
        <v>101</v>
      </c>
      <c r="I6" s="4" t="s">
        <v>275</v>
      </c>
      <c r="J6" s="4" t="s">
        <v>1664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spans="1:52" ht="64" customHeight="1">
      <c r="A7" s="4" t="s">
        <v>338</v>
      </c>
      <c r="B7" s="4" t="s">
        <v>1665</v>
      </c>
      <c r="C7" s="4">
        <v>1972</v>
      </c>
      <c r="D7" s="4" t="s">
        <v>1641</v>
      </c>
      <c r="E7" s="4" t="s">
        <v>1666</v>
      </c>
      <c r="F7" s="4" t="s">
        <v>337</v>
      </c>
      <c r="G7" s="4" t="s">
        <v>1667</v>
      </c>
      <c r="H7" s="4" t="s">
        <v>101</v>
      </c>
      <c r="I7" s="4" t="s">
        <v>358</v>
      </c>
      <c r="J7" s="4" t="s">
        <v>1668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spans="1:52" ht="64" customHeight="1">
      <c r="A8" s="4" t="s">
        <v>360</v>
      </c>
      <c r="B8" s="4" t="s">
        <v>1669</v>
      </c>
      <c r="C8" s="4">
        <v>1977</v>
      </c>
      <c r="D8" s="4" t="s">
        <v>1641</v>
      </c>
      <c r="E8" s="4" t="s">
        <v>1670</v>
      </c>
      <c r="F8" s="4" t="s">
        <v>1671</v>
      </c>
      <c r="G8" s="4" t="s">
        <v>1672</v>
      </c>
      <c r="H8" s="4" t="s">
        <v>101</v>
      </c>
      <c r="I8" s="4" t="s">
        <v>383</v>
      </c>
      <c r="J8" s="4" t="s">
        <v>1673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spans="1:52" ht="64" customHeight="1">
      <c r="A9" s="4" t="s">
        <v>385</v>
      </c>
      <c r="B9" s="4" t="s">
        <v>1674</v>
      </c>
      <c r="C9" s="4">
        <v>1972</v>
      </c>
      <c r="D9" s="4" t="s">
        <v>1641</v>
      </c>
      <c r="E9" s="4" t="s">
        <v>1675</v>
      </c>
      <c r="F9" s="4" t="s">
        <v>1676</v>
      </c>
      <c r="G9" s="4" t="s">
        <v>1677</v>
      </c>
      <c r="H9" s="4" t="s">
        <v>101</v>
      </c>
      <c r="I9" s="4" t="s">
        <v>410</v>
      </c>
      <c r="J9" s="4" t="s">
        <v>1678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spans="1:52" ht="64" customHeight="1">
      <c r="A10" s="4" t="s">
        <v>441</v>
      </c>
      <c r="B10" s="4" t="s">
        <v>1679</v>
      </c>
      <c r="C10" s="4">
        <v>1972</v>
      </c>
      <c r="D10" s="4" t="s">
        <v>1641</v>
      </c>
      <c r="E10" s="4" t="s">
        <v>1680</v>
      </c>
      <c r="F10" s="4" t="s">
        <v>1681</v>
      </c>
      <c r="G10" s="4" t="s">
        <v>1682</v>
      </c>
      <c r="H10" s="4" t="s">
        <v>101</v>
      </c>
      <c r="I10" s="4" t="s">
        <v>461</v>
      </c>
      <c r="J10" s="4" t="s">
        <v>1683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1:52" ht="64" customHeight="1">
      <c r="A11" s="4" t="s">
        <v>554</v>
      </c>
      <c r="B11" s="4" t="s">
        <v>1684</v>
      </c>
      <c r="C11" s="4">
        <v>1972</v>
      </c>
      <c r="D11" s="4" t="s">
        <v>1641</v>
      </c>
      <c r="E11" s="4" t="s">
        <v>1685</v>
      </c>
      <c r="F11" s="4" t="s">
        <v>1686</v>
      </c>
      <c r="G11" s="4" t="s">
        <v>1687</v>
      </c>
      <c r="H11" s="4" t="s">
        <v>101</v>
      </c>
      <c r="I11" s="4" t="s">
        <v>573</v>
      </c>
      <c r="J11" s="4" t="s">
        <v>1688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52" ht="64" customHeight="1">
      <c r="A12" s="4" t="s">
        <v>594</v>
      </c>
      <c r="B12" s="4" t="s">
        <v>1689</v>
      </c>
      <c r="C12" s="4">
        <v>1977</v>
      </c>
      <c r="D12" s="4" t="s">
        <v>1641</v>
      </c>
      <c r="E12" s="4" t="s">
        <v>1690</v>
      </c>
      <c r="F12" s="4" t="s">
        <v>1691</v>
      </c>
      <c r="G12" s="4" t="s">
        <v>1692</v>
      </c>
      <c r="H12" s="4" t="s">
        <v>101</v>
      </c>
      <c r="I12" s="4" t="s">
        <v>610</v>
      </c>
      <c r="J12" s="4" t="s">
        <v>1693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spans="1:52" ht="64" customHeight="1">
      <c r="A13" s="4" t="s">
        <v>1694</v>
      </c>
      <c r="B13" s="4" t="s">
        <v>1695</v>
      </c>
      <c r="C13" s="4">
        <v>1977</v>
      </c>
      <c r="D13" s="4" t="s">
        <v>1641</v>
      </c>
      <c r="E13" s="4" t="s">
        <v>1696</v>
      </c>
      <c r="F13" s="4" t="s">
        <v>1697</v>
      </c>
      <c r="G13" s="4" t="s">
        <v>1698</v>
      </c>
      <c r="H13" s="4" t="s">
        <v>144</v>
      </c>
      <c r="I13" s="4" t="s">
        <v>1699</v>
      </c>
      <c r="J13" s="4" t="s">
        <v>1700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spans="1:52" ht="64" customHeight="1">
      <c r="A14" s="4" t="s">
        <v>626</v>
      </c>
      <c r="B14" s="4" t="s">
        <v>627</v>
      </c>
      <c r="C14" s="4">
        <v>1967</v>
      </c>
      <c r="D14" s="4" t="s">
        <v>1641</v>
      </c>
      <c r="E14" s="4" t="s">
        <v>1701</v>
      </c>
      <c r="F14" s="4" t="s">
        <v>625</v>
      </c>
      <c r="G14" s="4" t="s">
        <v>641</v>
      </c>
      <c r="H14" s="4" t="s">
        <v>144</v>
      </c>
      <c r="I14" s="4" t="s">
        <v>646</v>
      </c>
      <c r="J14" s="4" t="s">
        <v>1702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1:52" ht="64" customHeight="1">
      <c r="A15" s="4" t="s">
        <v>648</v>
      </c>
      <c r="B15" s="4" t="s">
        <v>649</v>
      </c>
      <c r="C15" s="4">
        <v>1962</v>
      </c>
      <c r="D15" s="4" t="s">
        <v>1641</v>
      </c>
      <c r="E15" s="4" t="s">
        <v>1703</v>
      </c>
      <c r="F15" s="4" t="s">
        <v>647</v>
      </c>
      <c r="G15" s="4" t="s">
        <v>1704</v>
      </c>
      <c r="H15" s="4" t="s">
        <v>144</v>
      </c>
      <c r="I15" s="4" t="s">
        <v>646</v>
      </c>
      <c r="J15" s="4" t="s">
        <v>1705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pans="1:52" ht="64" customHeight="1">
      <c r="A16" s="4" t="s">
        <v>659</v>
      </c>
      <c r="B16" s="4" t="s">
        <v>660</v>
      </c>
      <c r="C16" s="4">
        <v>1970</v>
      </c>
      <c r="D16" s="4" t="s">
        <v>1641</v>
      </c>
      <c r="E16" s="4" t="s">
        <v>1706</v>
      </c>
      <c r="F16" s="4" t="s">
        <v>658</v>
      </c>
      <c r="G16" s="4" t="s">
        <v>1707</v>
      </c>
      <c r="H16" s="4" t="s">
        <v>501</v>
      </c>
      <c r="I16" s="4" t="s">
        <v>646</v>
      </c>
      <c r="J16" s="4" t="s">
        <v>1708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1:52" ht="64" customHeight="1">
      <c r="A17" s="4" t="s">
        <v>818</v>
      </c>
      <c r="B17" s="4" t="s">
        <v>1709</v>
      </c>
      <c r="C17" s="4">
        <v>1972</v>
      </c>
      <c r="D17" s="4" t="s">
        <v>1641</v>
      </c>
      <c r="E17" s="4" t="s">
        <v>1710</v>
      </c>
      <c r="F17" s="4" t="s">
        <v>817</v>
      </c>
      <c r="G17" s="4" t="s">
        <v>1711</v>
      </c>
      <c r="H17" s="4" t="s">
        <v>101</v>
      </c>
      <c r="I17" s="4" t="s">
        <v>834</v>
      </c>
      <c r="J17" s="4" t="s">
        <v>1712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1:52" ht="64" customHeight="1">
      <c r="A18" s="4" t="s">
        <v>836</v>
      </c>
      <c r="B18" s="4" t="s">
        <v>1713</v>
      </c>
      <c r="C18" s="4">
        <v>1972</v>
      </c>
      <c r="D18" s="4" t="s">
        <v>1641</v>
      </c>
      <c r="E18" s="4" t="s">
        <v>1714</v>
      </c>
      <c r="F18" s="4" t="s">
        <v>835</v>
      </c>
      <c r="G18" s="4" t="s">
        <v>1715</v>
      </c>
      <c r="H18" s="4" t="s">
        <v>101</v>
      </c>
      <c r="I18" s="4" t="s">
        <v>646</v>
      </c>
      <c r="J18" s="4" t="s">
        <v>1716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1:52" ht="64" customHeight="1">
      <c r="A19" s="4" t="s">
        <v>1717</v>
      </c>
      <c r="B19" s="4" t="s">
        <v>1718</v>
      </c>
      <c r="C19" s="4">
        <v>1972</v>
      </c>
      <c r="D19" s="4" t="s">
        <v>1641</v>
      </c>
      <c r="E19" s="4" t="s">
        <v>1719</v>
      </c>
      <c r="F19" s="4" t="s">
        <v>1697</v>
      </c>
      <c r="G19" s="4" t="s">
        <v>1720</v>
      </c>
      <c r="H19" s="4" t="s">
        <v>144</v>
      </c>
      <c r="I19" s="4" t="s">
        <v>646</v>
      </c>
      <c r="J19" s="4" t="s">
        <v>1721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spans="1:52" ht="64" customHeight="1">
      <c r="A20" s="4" t="s">
        <v>854</v>
      </c>
      <c r="B20" s="4" t="s">
        <v>1722</v>
      </c>
      <c r="C20" s="4">
        <v>1972</v>
      </c>
      <c r="D20" s="4" t="s">
        <v>1641</v>
      </c>
      <c r="E20" s="4" t="s">
        <v>1723</v>
      </c>
      <c r="F20" s="4" t="s">
        <v>853</v>
      </c>
      <c r="G20" s="4" t="s">
        <v>1724</v>
      </c>
      <c r="H20" s="4" t="s">
        <v>101</v>
      </c>
      <c r="I20" s="4" t="s">
        <v>868</v>
      </c>
      <c r="J20" s="4" t="s">
        <v>1725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spans="1:52" ht="64" customHeight="1">
      <c r="A21" s="4" t="s">
        <v>870</v>
      </c>
      <c r="B21" s="4" t="s">
        <v>1726</v>
      </c>
      <c r="C21" s="4">
        <v>1971</v>
      </c>
      <c r="D21" s="4" t="s">
        <v>1641</v>
      </c>
      <c r="E21" s="4" t="s">
        <v>1727</v>
      </c>
      <c r="F21" s="4" t="s">
        <v>869</v>
      </c>
      <c r="G21" s="4" t="s">
        <v>1728</v>
      </c>
      <c r="H21" s="4" t="s">
        <v>144</v>
      </c>
      <c r="I21" s="4" t="s">
        <v>646</v>
      </c>
      <c r="J21" s="4" t="s">
        <v>1729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spans="1:52" ht="64" customHeight="1">
      <c r="A22" s="4" t="s">
        <v>884</v>
      </c>
      <c r="B22" s="4" t="s">
        <v>885</v>
      </c>
      <c r="C22" s="4">
        <v>1970</v>
      </c>
      <c r="D22" s="4" t="s">
        <v>1641</v>
      </c>
      <c r="E22" s="4" t="s">
        <v>1730</v>
      </c>
      <c r="F22" s="4" t="s">
        <v>883</v>
      </c>
      <c r="G22" s="4" t="s">
        <v>1731</v>
      </c>
      <c r="H22" s="4" t="s">
        <v>144</v>
      </c>
      <c r="I22" s="4" t="s">
        <v>646</v>
      </c>
      <c r="J22" s="4" t="s">
        <v>1732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2" ht="64" customHeight="1">
      <c r="A23" s="4" t="s">
        <v>897</v>
      </c>
      <c r="B23" s="4" t="s">
        <v>1733</v>
      </c>
      <c r="C23" s="4">
        <v>1969</v>
      </c>
      <c r="D23" s="4" t="s">
        <v>1641</v>
      </c>
      <c r="E23" s="4" t="s">
        <v>1734</v>
      </c>
      <c r="F23" s="4" t="s">
        <v>896</v>
      </c>
      <c r="G23" s="4" t="s">
        <v>1735</v>
      </c>
      <c r="H23" s="4" t="s">
        <v>501</v>
      </c>
      <c r="I23" s="4" t="s">
        <v>646</v>
      </c>
      <c r="J23" s="4" t="s">
        <v>1736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ht="64" customHeight="1">
      <c r="A24" s="4" t="s">
        <v>908</v>
      </c>
      <c r="B24" s="4" t="s">
        <v>909</v>
      </c>
      <c r="C24" s="4">
        <v>1970</v>
      </c>
      <c r="D24" s="4" t="s">
        <v>1641</v>
      </c>
      <c r="E24" s="4" t="s">
        <v>1737</v>
      </c>
      <c r="F24" s="4" t="s">
        <v>907</v>
      </c>
      <c r="G24" s="4" t="s">
        <v>1738</v>
      </c>
      <c r="H24" s="4" t="s">
        <v>501</v>
      </c>
      <c r="I24" s="4" t="s">
        <v>646</v>
      </c>
      <c r="J24" s="4" t="s">
        <v>1739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spans="1:52" ht="64" customHeight="1">
      <c r="A25" s="4" t="s">
        <v>920</v>
      </c>
      <c r="B25" s="4" t="s">
        <v>921</v>
      </c>
      <c r="C25" s="4">
        <v>1972</v>
      </c>
      <c r="D25" s="4" t="s">
        <v>1641</v>
      </c>
      <c r="E25" s="4" t="s">
        <v>1740</v>
      </c>
      <c r="F25" s="4" t="s">
        <v>919</v>
      </c>
      <c r="G25" s="4" t="s">
        <v>1741</v>
      </c>
      <c r="H25" s="4" t="s">
        <v>501</v>
      </c>
      <c r="I25" s="4" t="s">
        <v>646</v>
      </c>
      <c r="J25" s="4" t="s">
        <v>1742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spans="1:52" ht="64" customHeight="1">
      <c r="A26" s="4" t="s">
        <v>930</v>
      </c>
      <c r="B26" s="4" t="s">
        <v>931</v>
      </c>
      <c r="C26" s="4">
        <v>2022</v>
      </c>
      <c r="D26" s="4" t="s">
        <v>1743</v>
      </c>
      <c r="E26" s="4" t="s">
        <v>1744</v>
      </c>
      <c r="F26" s="4" t="s">
        <v>929</v>
      </c>
      <c r="G26" s="4" t="s">
        <v>1745</v>
      </c>
      <c r="H26" s="4" t="s">
        <v>101</v>
      </c>
      <c r="I26" s="4" t="s">
        <v>948</v>
      </c>
      <c r="J26" s="4" t="s">
        <v>1746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spans="1:52" ht="64" customHeight="1">
      <c r="A27" s="4" t="s">
        <v>950</v>
      </c>
      <c r="B27" s="4" t="s">
        <v>951</v>
      </c>
      <c r="C27" s="4">
        <v>2022</v>
      </c>
      <c r="D27" s="4" t="s">
        <v>1641</v>
      </c>
      <c r="E27" s="4" t="s">
        <v>1747</v>
      </c>
      <c r="F27" s="4" t="s">
        <v>949</v>
      </c>
      <c r="G27" s="4" t="s">
        <v>1748</v>
      </c>
      <c r="H27" s="4" t="s">
        <v>101</v>
      </c>
      <c r="I27" s="4" t="s">
        <v>965</v>
      </c>
      <c r="J27" s="4" t="s">
        <v>1749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spans="1:52" ht="64" customHeight="1">
      <c r="A28" s="4" t="s">
        <v>967</v>
      </c>
      <c r="B28" s="4" t="s">
        <v>968</v>
      </c>
      <c r="C28" s="4">
        <v>2025</v>
      </c>
      <c r="D28" s="4" t="s">
        <v>1743</v>
      </c>
      <c r="E28" s="4" t="s">
        <v>1750</v>
      </c>
      <c r="F28" s="4" t="s">
        <v>966</v>
      </c>
      <c r="G28" s="4" t="s">
        <v>1751</v>
      </c>
      <c r="H28" s="4" t="s">
        <v>144</v>
      </c>
      <c r="I28" s="4" t="s">
        <v>983</v>
      </c>
      <c r="J28" s="4" t="s">
        <v>1752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spans="1:52" ht="64" customHeight="1">
      <c r="A29" s="4" t="s">
        <v>985</v>
      </c>
      <c r="B29" s="4" t="s">
        <v>1753</v>
      </c>
      <c r="C29" s="4">
        <v>2023</v>
      </c>
      <c r="D29" s="4" t="s">
        <v>1743</v>
      </c>
      <c r="E29" s="4" t="s">
        <v>1754</v>
      </c>
      <c r="F29" s="4" t="s">
        <v>984</v>
      </c>
      <c r="G29" s="4" t="s">
        <v>1755</v>
      </c>
      <c r="H29" s="4" t="s">
        <v>144</v>
      </c>
      <c r="I29" s="4" t="s">
        <v>1003</v>
      </c>
      <c r="J29" s="4" t="s">
        <v>1756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spans="1:52" ht="64" customHeight="1">
      <c r="A30" s="4" t="s">
        <v>1005</v>
      </c>
      <c r="B30" s="4" t="s">
        <v>1757</v>
      </c>
      <c r="C30" s="4">
        <v>2023</v>
      </c>
      <c r="D30" s="4" t="s">
        <v>1743</v>
      </c>
      <c r="E30" s="4" t="s">
        <v>1758</v>
      </c>
      <c r="F30" s="4" t="s">
        <v>1004</v>
      </c>
      <c r="G30" s="4" t="s">
        <v>1759</v>
      </c>
      <c r="H30" s="4" t="s">
        <v>144</v>
      </c>
      <c r="I30" s="4" t="s">
        <v>1023</v>
      </c>
      <c r="J30" s="4" t="s">
        <v>1760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1:52" ht="64" customHeight="1">
      <c r="A31" s="4" t="s">
        <v>1025</v>
      </c>
      <c r="B31" s="4" t="s">
        <v>1761</v>
      </c>
      <c r="C31" s="4">
        <v>2021</v>
      </c>
      <c r="D31" s="4" t="s">
        <v>1743</v>
      </c>
      <c r="E31" s="4" t="s">
        <v>1762</v>
      </c>
      <c r="F31" s="4" t="s">
        <v>1024</v>
      </c>
      <c r="G31" s="4" t="s">
        <v>1763</v>
      </c>
      <c r="H31" s="4" t="s">
        <v>501</v>
      </c>
      <c r="I31" s="4" t="s">
        <v>1041</v>
      </c>
      <c r="J31" s="4" t="s">
        <v>1764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spans="1:52" ht="64" customHeight="1">
      <c r="A32" s="4" t="s">
        <v>1043</v>
      </c>
      <c r="B32" s="4" t="s">
        <v>1765</v>
      </c>
      <c r="C32" s="4">
        <v>2022</v>
      </c>
      <c r="D32" s="4" t="s">
        <v>1743</v>
      </c>
      <c r="E32" s="4" t="s">
        <v>1766</v>
      </c>
      <c r="F32" s="4" t="s">
        <v>1042</v>
      </c>
      <c r="G32" s="4" t="s">
        <v>1767</v>
      </c>
      <c r="H32" s="4" t="s">
        <v>144</v>
      </c>
      <c r="I32" s="4" t="s">
        <v>1056</v>
      </c>
      <c r="J32" s="4" t="s">
        <v>1768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1:52" ht="64" customHeight="1">
      <c r="A33" s="4" t="s">
        <v>1058</v>
      </c>
      <c r="B33" s="4" t="s">
        <v>1769</v>
      </c>
      <c r="C33" s="4">
        <v>2023</v>
      </c>
      <c r="D33" s="4" t="s">
        <v>1743</v>
      </c>
      <c r="E33" s="4" t="s">
        <v>1770</v>
      </c>
      <c r="F33" s="4" t="s">
        <v>1057</v>
      </c>
      <c r="G33" s="4" t="s">
        <v>1771</v>
      </c>
      <c r="H33" s="4" t="s">
        <v>501</v>
      </c>
      <c r="I33" s="4" t="s">
        <v>1075</v>
      </c>
      <c r="J33" s="4" t="s">
        <v>1772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64" customHeight="1">
      <c r="A34" s="4" t="s">
        <v>1077</v>
      </c>
      <c r="B34" s="4" t="s">
        <v>1773</v>
      </c>
      <c r="C34" s="4">
        <v>2015</v>
      </c>
      <c r="D34" s="4" t="s">
        <v>1774</v>
      </c>
      <c r="E34" s="4" t="s">
        <v>1775</v>
      </c>
      <c r="F34" s="4" t="s">
        <v>1076</v>
      </c>
      <c r="G34" s="4" t="s">
        <v>1088</v>
      </c>
      <c r="H34" s="4" t="s">
        <v>144</v>
      </c>
      <c r="I34" s="4" t="s">
        <v>1092</v>
      </c>
      <c r="J34" s="4" t="s">
        <v>1776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spans="1:52" ht="64" customHeight="1">
      <c r="A35" s="4" t="s">
        <v>1094</v>
      </c>
      <c r="B35" s="4" t="s">
        <v>1777</v>
      </c>
      <c r="C35" s="4">
        <v>2019</v>
      </c>
      <c r="D35" s="4" t="s">
        <v>1641</v>
      </c>
      <c r="E35" s="4" t="s">
        <v>1778</v>
      </c>
      <c r="F35" s="4" t="s">
        <v>1093</v>
      </c>
      <c r="G35" s="4" t="s">
        <v>1779</v>
      </c>
      <c r="H35" s="4" t="s">
        <v>101</v>
      </c>
      <c r="I35" s="4" t="s">
        <v>1110</v>
      </c>
      <c r="J35" s="4" t="s">
        <v>1780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pans="1:52" ht="64" customHeight="1">
      <c r="A36" s="4" t="s">
        <v>1112</v>
      </c>
      <c r="B36" s="4" t="s">
        <v>1781</v>
      </c>
      <c r="C36" s="4">
        <v>2024</v>
      </c>
      <c r="D36" s="4" t="s">
        <v>1743</v>
      </c>
      <c r="E36" s="4" t="s">
        <v>1782</v>
      </c>
      <c r="F36" s="4" t="s">
        <v>1111</v>
      </c>
      <c r="G36" s="4" t="s">
        <v>1783</v>
      </c>
      <c r="H36" s="4" t="s">
        <v>101</v>
      </c>
      <c r="I36" s="4" t="s">
        <v>1125</v>
      </c>
      <c r="J36" s="4" t="s">
        <v>1784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pans="1:52" ht="64" customHeight="1">
      <c r="A37" s="4" t="s">
        <v>1127</v>
      </c>
      <c r="B37" s="4" t="s">
        <v>1785</v>
      </c>
      <c r="C37" s="4">
        <v>2024</v>
      </c>
      <c r="D37" s="4" t="s">
        <v>1743</v>
      </c>
      <c r="E37" s="4" t="s">
        <v>1786</v>
      </c>
      <c r="F37" s="4" t="s">
        <v>1126</v>
      </c>
      <c r="G37" s="4" t="s">
        <v>1787</v>
      </c>
      <c r="H37" s="4" t="s">
        <v>144</v>
      </c>
      <c r="I37" s="4" t="s">
        <v>1145</v>
      </c>
      <c r="J37" s="4" t="s">
        <v>1788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spans="1:52" ht="64" customHeight="1">
      <c r="A38" s="4" t="s">
        <v>1147</v>
      </c>
      <c r="B38" s="4" t="s">
        <v>1789</v>
      </c>
      <c r="C38" s="4">
        <v>2024</v>
      </c>
      <c r="D38" s="4" t="s">
        <v>1743</v>
      </c>
      <c r="E38" s="4" t="s">
        <v>1790</v>
      </c>
      <c r="F38" s="4" t="s">
        <v>1146</v>
      </c>
      <c r="G38" s="4" t="s">
        <v>1791</v>
      </c>
      <c r="H38" s="4" t="s">
        <v>101</v>
      </c>
      <c r="I38" s="4" t="s">
        <v>1166</v>
      </c>
      <c r="J38" s="4" t="s">
        <v>1792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spans="1:52" ht="64" customHeight="1">
      <c r="A39" s="4" t="s">
        <v>1168</v>
      </c>
      <c r="B39" s="4" t="s">
        <v>1793</v>
      </c>
      <c r="C39" s="4">
        <v>2025</v>
      </c>
      <c r="D39" s="4" t="s">
        <v>1743</v>
      </c>
      <c r="E39" s="4" t="s">
        <v>1794</v>
      </c>
      <c r="F39" s="4" t="s">
        <v>1167</v>
      </c>
      <c r="G39" s="4" t="s">
        <v>1795</v>
      </c>
      <c r="H39" s="4" t="s">
        <v>144</v>
      </c>
      <c r="I39" s="4" t="s">
        <v>1182</v>
      </c>
      <c r="J39" s="4" t="s">
        <v>1796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64" customHeight="1">
      <c r="A40" s="4" t="s">
        <v>1184</v>
      </c>
      <c r="B40" s="4" t="s">
        <v>1797</v>
      </c>
      <c r="C40" s="4">
        <v>2025</v>
      </c>
      <c r="D40" s="4" t="s">
        <v>1743</v>
      </c>
      <c r="E40" s="4" t="s">
        <v>1798</v>
      </c>
      <c r="F40" s="4" t="s">
        <v>1183</v>
      </c>
      <c r="G40" s="4" t="s">
        <v>1799</v>
      </c>
      <c r="H40" s="4" t="s">
        <v>501</v>
      </c>
      <c r="I40" s="4" t="s">
        <v>1197</v>
      </c>
      <c r="J40" s="4" t="s">
        <v>1800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1:52" ht="64" customHeight="1">
      <c r="A41" s="4" t="s">
        <v>1214</v>
      </c>
      <c r="B41" s="4" t="s">
        <v>1801</v>
      </c>
      <c r="C41" s="4">
        <v>2025</v>
      </c>
      <c r="D41" s="4" t="s">
        <v>1743</v>
      </c>
      <c r="E41" s="4" t="s">
        <v>1802</v>
      </c>
      <c r="F41" s="4" t="s">
        <v>1213</v>
      </c>
      <c r="G41" s="4" t="s">
        <v>1803</v>
      </c>
      <c r="H41" s="4" t="s">
        <v>144</v>
      </c>
      <c r="I41" s="4" t="s">
        <v>1234</v>
      </c>
      <c r="J41" s="4" t="s">
        <v>1804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spans="1:52" ht="64" customHeight="1">
      <c r="A42" s="4" t="s">
        <v>1262</v>
      </c>
      <c r="B42" s="4" t="s">
        <v>1805</v>
      </c>
      <c r="C42" s="4">
        <v>2018</v>
      </c>
      <c r="D42" s="4" t="s">
        <v>1806</v>
      </c>
      <c r="E42" s="4" t="s">
        <v>1807</v>
      </c>
      <c r="F42" s="4" t="s">
        <v>1261</v>
      </c>
      <c r="G42" s="4" t="s">
        <v>1808</v>
      </c>
      <c r="H42" s="4" t="s">
        <v>101</v>
      </c>
      <c r="I42" s="4" t="s">
        <v>1280</v>
      </c>
      <c r="J42" s="4" t="s">
        <v>1809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spans="1:52" ht="64" customHeight="1">
      <c r="A43" s="4" t="s">
        <v>1296</v>
      </c>
      <c r="B43" s="4" t="s">
        <v>1297</v>
      </c>
      <c r="C43" s="4">
        <v>2025</v>
      </c>
      <c r="D43" s="4" t="s">
        <v>1322</v>
      </c>
      <c r="E43" s="4" t="s">
        <v>1810</v>
      </c>
      <c r="F43" s="4" t="s">
        <v>1295</v>
      </c>
      <c r="G43" s="4" t="s">
        <v>1811</v>
      </c>
      <c r="H43" s="4" t="s">
        <v>144</v>
      </c>
      <c r="I43" s="4" t="s">
        <v>1312</v>
      </c>
      <c r="J43" s="4" t="s">
        <v>1812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 spans="1:52" ht="64" customHeight="1">
      <c r="A44" s="4" t="s">
        <v>1346</v>
      </c>
      <c r="B44" s="4" t="s">
        <v>1813</v>
      </c>
      <c r="C44" s="4">
        <v>2026</v>
      </c>
      <c r="D44" s="4" t="s">
        <v>1814</v>
      </c>
      <c r="E44" s="4" t="s">
        <v>1815</v>
      </c>
      <c r="F44" s="4" t="s">
        <v>1345</v>
      </c>
      <c r="G44" s="4" t="s">
        <v>1816</v>
      </c>
      <c r="H44" s="4" t="s">
        <v>101</v>
      </c>
      <c r="I44" s="4" t="s">
        <v>646</v>
      </c>
      <c r="J44" s="4" t="s">
        <v>1817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 spans="1:52" ht="64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 spans="1:52" ht="64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 spans="1:52" ht="64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 spans="1:52" ht="64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 spans="1:52" ht="64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 spans="1:52" ht="64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 spans="1:52" ht="64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 spans="1:52" ht="64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 spans="1:52" ht="64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 spans="1:52" ht="64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 spans="1:52" ht="64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 spans="1:52" ht="64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 spans="1:52" ht="64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 spans="1:52" ht="64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 spans="1:52" ht="64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 spans="1:52" ht="64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spans="1:52" ht="64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 spans="1:52" ht="64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 spans="1:52" ht="64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 spans="1:52" ht="64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 spans="1:52" ht="64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 spans="1:52" ht="64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 spans="1:52" ht="64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 spans="1:52" ht="64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 spans="1:52" ht="64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 spans="1:52" ht="64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 spans="1:52" ht="64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 spans="1:52" ht="64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 spans="1:52" ht="64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 spans="1:52" ht="64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 spans="1:52" ht="64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 spans="1:52" ht="64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 spans="1:52" ht="64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 spans="1:52" ht="64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 spans="1:52" ht="64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 spans="1:52" ht="64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  <row r="81" spans="1:52" ht="64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</row>
    <row r="82" spans="1:52" ht="64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</row>
    <row r="83" spans="1:52" ht="64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</row>
    <row r="84" spans="1:52" ht="64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</row>
    <row r="85" spans="1:52" ht="64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</row>
    <row r="86" spans="1:52" ht="64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</row>
    <row r="87" spans="1:52" ht="64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</row>
    <row r="88" spans="1:52" ht="64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</row>
    <row r="89" spans="1:52" ht="64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</row>
    <row r="90" spans="1:52" ht="64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</row>
    <row r="91" spans="1:52" ht="64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</row>
    <row r="92" spans="1:52" ht="64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</row>
    <row r="93" spans="1:52" ht="64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</row>
    <row r="94" spans="1:52" ht="64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</row>
    <row r="95" spans="1:52" ht="64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</row>
    <row r="96" spans="1:52" ht="64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</row>
    <row r="97" spans="1:52" ht="64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</row>
    <row r="98" spans="1:52" ht="64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</row>
    <row r="99" spans="1:52" ht="64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</row>
    <row r="100" spans="1:52" ht="64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</row>
    <row r="101" spans="1:52" ht="64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</row>
    <row r="102" spans="1:52" ht="64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</row>
    <row r="103" spans="1:52" ht="64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</row>
    <row r="104" spans="1:52" ht="64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</row>
    <row r="105" spans="1:52" ht="64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 spans="1:52" ht="64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</row>
    <row r="107" spans="1:52" ht="64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</row>
    <row r="108" spans="1:52" ht="64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</row>
    <row r="109" spans="1:52" ht="64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</row>
    <row r="110" spans="1:52" ht="64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</row>
    <row r="111" spans="1:52" ht="64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</row>
    <row r="112" spans="1:52" ht="64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</row>
    <row r="113" spans="1:52" ht="64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</row>
    <row r="114" spans="1:52" ht="64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</row>
    <row r="115" spans="1:52" ht="64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</row>
    <row r="116" spans="1:52" ht="64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</row>
    <row r="117" spans="1:52" ht="64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</row>
    <row r="118" spans="1:52" ht="64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</row>
    <row r="119" spans="1:52" ht="64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</row>
    <row r="120" spans="1:52" ht="64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</row>
    <row r="121" spans="1:52" ht="64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</row>
    <row r="122" spans="1:52" ht="64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</row>
    <row r="123" spans="1:52" ht="64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</row>
    <row r="124" spans="1:52" ht="64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</row>
    <row r="125" spans="1:52" ht="64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</row>
    <row r="126" spans="1:52" ht="64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</row>
    <row r="127" spans="1:52" ht="64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</row>
    <row r="128" spans="1:52" ht="64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</row>
    <row r="129" spans="1:52" ht="64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</row>
    <row r="130" spans="1:52" ht="64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</row>
    <row r="131" spans="1:52" ht="64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</row>
    <row r="132" spans="1:52" ht="64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</row>
    <row r="133" spans="1:52" ht="64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</row>
    <row r="134" spans="1:52" ht="64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</row>
    <row r="135" spans="1:52" ht="64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</row>
    <row r="136" spans="1:52" ht="64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</row>
    <row r="137" spans="1:52" ht="64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</row>
    <row r="138" spans="1:52" ht="64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</row>
    <row r="139" spans="1:52" ht="64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</row>
    <row r="140" spans="1:52" ht="64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</row>
    <row r="141" spans="1:52" ht="64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</row>
    <row r="142" spans="1:52" ht="64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</row>
    <row r="143" spans="1:52" ht="64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</row>
    <row r="144" spans="1:52" ht="64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</row>
    <row r="145" spans="1:52" ht="64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</row>
    <row r="146" spans="1:52" ht="64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</row>
    <row r="147" spans="1:52" ht="64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</row>
    <row r="148" spans="1:52" ht="64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</row>
    <row r="149" spans="1:52" ht="64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</row>
    <row r="150" spans="1:52" ht="64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</row>
    <row r="151" spans="1:52" ht="64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</row>
    <row r="152" spans="1:52" ht="64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</row>
    <row r="153" spans="1:52" ht="64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</row>
    <row r="154" spans="1:52" ht="64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</row>
    <row r="155" spans="1:52" ht="64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</row>
    <row r="156" spans="1:52" ht="64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</row>
    <row r="157" spans="1:52" ht="64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</row>
    <row r="158" spans="1:52" ht="64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</row>
    <row r="159" spans="1:52" ht="64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</row>
    <row r="160" spans="1:52" ht="64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</row>
    <row r="161" spans="1:52" ht="64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</row>
    <row r="162" spans="1:52" ht="64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</row>
    <row r="163" spans="1:52" ht="64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</row>
    <row r="164" spans="1:52" ht="64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</row>
    <row r="165" spans="1:52" ht="64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</row>
    <row r="166" spans="1:52" ht="64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</row>
    <row r="167" spans="1:52" ht="64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</row>
    <row r="168" spans="1:52" ht="64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</row>
    <row r="169" spans="1:52" ht="64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</row>
    <row r="170" spans="1:52" ht="64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</row>
    <row r="171" spans="1:52" ht="64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</row>
    <row r="172" spans="1:52" ht="64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</row>
    <row r="173" spans="1:52" ht="64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</row>
    <row r="174" spans="1:52" ht="64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</row>
    <row r="175" spans="1:52" ht="64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</row>
    <row r="176" spans="1:52" ht="64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</row>
    <row r="177" spans="1:52" ht="64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</row>
    <row r="178" spans="1:52" ht="64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</row>
    <row r="179" spans="1:52" ht="64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</row>
    <row r="180" spans="1:52" ht="64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</row>
    <row r="181" spans="1:52" ht="64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</row>
    <row r="182" spans="1:52" ht="64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</row>
    <row r="183" spans="1:52" ht="64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</row>
    <row r="184" spans="1:52" ht="64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</row>
    <row r="185" spans="1:52" ht="64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</row>
    <row r="186" spans="1:52" ht="64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</row>
    <row r="187" spans="1:52" ht="64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</row>
    <row r="188" spans="1:52" ht="64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</row>
    <row r="189" spans="1:52" ht="64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</row>
    <row r="190" spans="1:52" ht="64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</row>
    <row r="191" spans="1:52" ht="64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</row>
    <row r="192" spans="1:52" ht="64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</row>
    <row r="193" spans="1:52" ht="64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</row>
    <row r="194" spans="1:52" ht="64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</row>
    <row r="195" spans="1:52" ht="64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</row>
    <row r="196" spans="1:52" ht="64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</row>
    <row r="197" spans="1:52" ht="64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</row>
    <row r="198" spans="1:52" ht="64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</row>
    <row r="199" spans="1:52" ht="64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</row>
    <row r="200" spans="1:52" ht="64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</row>
    <row r="201" spans="1:52" ht="64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</row>
    <row r="202" spans="1:52" ht="64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</row>
    <row r="203" spans="1:52" ht="64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</row>
    <row r="204" spans="1:52" ht="64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</row>
    <row r="205" spans="1:52" ht="64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</row>
    <row r="206" spans="1:52" ht="64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</row>
    <row r="207" spans="1:52" ht="64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</row>
    <row r="208" spans="1:52" ht="64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</row>
    <row r="209" spans="1:52" ht="64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</row>
    <row r="210" spans="1:52" ht="64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</row>
    <row r="211" spans="1:52" ht="64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</row>
    <row r="212" spans="1:52" ht="64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</row>
    <row r="213" spans="1:52" ht="64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</row>
    <row r="214" spans="1:52" ht="64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</row>
    <row r="215" spans="1:52" ht="64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</row>
    <row r="216" spans="1:52" ht="64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</row>
    <row r="217" spans="1:52" ht="64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</row>
    <row r="218" spans="1:52" ht="64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</row>
    <row r="219" spans="1:52" ht="64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</row>
    <row r="220" spans="1:52" ht="64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</row>
    <row r="221" spans="1:52" ht="64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</row>
    <row r="222" spans="1:52" ht="64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</row>
    <row r="223" spans="1:52" ht="64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</row>
    <row r="224" spans="1:52" ht="64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</row>
    <row r="225" spans="1:52" ht="64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</row>
    <row r="226" spans="1:52" ht="64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</row>
    <row r="227" spans="1:52" ht="64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</row>
    <row r="228" spans="1:52" ht="64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</row>
    <row r="229" spans="1:52" ht="64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</row>
    <row r="230" spans="1:52" ht="64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</row>
    <row r="231" spans="1:52" ht="64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</row>
    <row r="232" spans="1:52" ht="64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</row>
    <row r="233" spans="1:52" ht="64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</row>
    <row r="234" spans="1:52" ht="64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</row>
    <row r="235" spans="1:52" ht="64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</row>
    <row r="236" spans="1:52" ht="64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</row>
    <row r="237" spans="1:52" ht="64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</row>
    <row r="238" spans="1:52" ht="64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</row>
    <row r="239" spans="1:52" ht="64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</row>
    <row r="240" spans="1:52" ht="64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</row>
    <row r="241" spans="1:52" ht="64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</row>
    <row r="242" spans="1:52" ht="64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</row>
    <row r="243" spans="1:52" ht="64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</row>
    <row r="244" spans="1:52" ht="64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</row>
    <row r="245" spans="1:52" ht="64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</row>
    <row r="246" spans="1:52" ht="64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</row>
    <row r="247" spans="1:52" ht="64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</row>
    <row r="248" spans="1:52" ht="64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</row>
    <row r="249" spans="1:52" ht="64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</row>
    <row r="250" spans="1:52" ht="64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</row>
    <row r="251" spans="1:52" ht="64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</row>
    <row r="252" spans="1:52" ht="64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</row>
    <row r="253" spans="1:52" ht="64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</row>
    <row r="254" spans="1:52" ht="64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</row>
    <row r="255" spans="1:52" ht="64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</row>
    <row r="256" spans="1:52" ht="64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</row>
    <row r="257" spans="1:52" ht="64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</row>
    <row r="258" spans="1:52" ht="64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</row>
    <row r="259" spans="1:52" ht="64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</row>
    <row r="260" spans="1:52" ht="64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</row>
    <row r="261" spans="1:52" ht="64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</row>
    <row r="262" spans="1:52" ht="64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</row>
    <row r="263" spans="1:52" ht="64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</row>
    <row r="264" spans="1:52" ht="64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</row>
    <row r="265" spans="1:52" ht="64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</row>
    <row r="266" spans="1:52" ht="64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</row>
    <row r="267" spans="1:52" ht="64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</row>
    <row r="268" spans="1:52" ht="64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</row>
    <row r="269" spans="1:52" ht="64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</row>
    <row r="270" spans="1:52" ht="64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</row>
    <row r="271" spans="1:52" ht="64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</row>
    <row r="272" spans="1:52" ht="64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</row>
    <row r="273" spans="1:52" ht="64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</row>
    <row r="274" spans="1:52" ht="64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</row>
    <row r="275" spans="1:52" ht="64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</row>
    <row r="276" spans="1:52" ht="64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</row>
    <row r="277" spans="1:52" ht="64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</row>
    <row r="278" spans="1:52" ht="64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</row>
    <row r="279" spans="1:52" ht="64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</row>
    <row r="280" spans="1:52" ht="64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</row>
    <row r="281" spans="1:52" ht="64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</row>
    <row r="282" spans="1:52" ht="64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</row>
    <row r="283" spans="1:52" ht="64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</row>
    <row r="284" spans="1:52" ht="64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</row>
    <row r="285" spans="1:52" ht="64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</row>
    <row r="286" spans="1:52" ht="64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</row>
    <row r="287" spans="1:52" ht="64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</row>
    <row r="288" spans="1:52" ht="64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</row>
    <row r="289" spans="1:52" ht="64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</row>
    <row r="290" spans="1:52" ht="64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</row>
    <row r="291" spans="1:52" ht="64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</row>
    <row r="292" spans="1:52" ht="64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</row>
    <row r="293" spans="1:52" ht="64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</row>
    <row r="294" spans="1:52" ht="64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</row>
    <row r="295" spans="1:52" ht="64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</row>
    <row r="296" spans="1:52" ht="64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</row>
    <row r="297" spans="1:52" ht="64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</row>
    <row r="298" spans="1:52" ht="64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</row>
    <row r="299" spans="1:52" ht="64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</row>
    <row r="300" spans="1:52" ht="64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</row>
    <row r="301" spans="1:52" ht="64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</row>
    <row r="302" spans="1:52" ht="64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</row>
    <row r="303" spans="1:52" ht="64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</row>
    <row r="304" spans="1:52" ht="64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</row>
    <row r="305" spans="1:52" ht="64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</row>
    <row r="306" spans="1:52" ht="64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</row>
    <row r="307" spans="1:52" ht="64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</row>
    <row r="308" spans="1:52" ht="64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</row>
    <row r="309" spans="1:52" ht="64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</row>
    <row r="310" spans="1:52" ht="64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</row>
    <row r="311" spans="1:52" ht="64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</row>
    <row r="312" spans="1:52" ht="64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</row>
    <row r="313" spans="1:52" ht="64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</row>
    <row r="314" spans="1:52" ht="64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</row>
    <row r="315" spans="1:52" ht="64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</row>
    <row r="316" spans="1:52" ht="64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</row>
    <row r="317" spans="1:52" ht="64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</row>
    <row r="318" spans="1:52" ht="64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</row>
    <row r="319" spans="1:52" ht="64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</row>
    <row r="320" spans="1:52" ht="64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</row>
    <row r="321" spans="1:52" ht="64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</row>
    <row r="322" spans="1:52" ht="64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</row>
    <row r="323" spans="1:52" ht="64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</row>
    <row r="324" spans="1:52" ht="64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</row>
    <row r="325" spans="1:52" ht="64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</row>
    <row r="326" spans="1:52" ht="64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</row>
    <row r="327" spans="1:52" ht="64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</row>
    <row r="328" spans="1:52" ht="64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</row>
    <row r="329" spans="1:52" ht="64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</row>
    <row r="330" spans="1:52" ht="64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</row>
    <row r="331" spans="1:52" ht="64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</row>
    <row r="332" spans="1:52" ht="64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</row>
    <row r="333" spans="1:52" ht="64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</row>
    <row r="334" spans="1:52" ht="64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</row>
    <row r="335" spans="1:52" ht="64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</row>
    <row r="336" spans="1:52" ht="64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</row>
    <row r="337" spans="1:52" ht="64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</row>
    <row r="338" spans="1:52" ht="64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</row>
    <row r="339" spans="1:52" ht="64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</row>
    <row r="340" spans="1:52" ht="64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</row>
    <row r="341" spans="1:52" ht="64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</row>
    <row r="342" spans="1:52" ht="64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</row>
    <row r="343" spans="1:52" ht="64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</row>
    <row r="344" spans="1:52" ht="64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</row>
    <row r="345" spans="1:52" ht="64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</row>
    <row r="346" spans="1:52" ht="64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</row>
    <row r="347" spans="1:52" ht="64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</row>
    <row r="348" spans="1:52" ht="64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</row>
    <row r="349" spans="1:52" ht="64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</row>
    <row r="350" spans="1:52" ht="64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</row>
    <row r="351" spans="1:52" ht="64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</row>
    <row r="352" spans="1:52" ht="64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</row>
    <row r="353" spans="1:52" ht="64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</row>
    <row r="354" spans="1:52" ht="64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</row>
    <row r="355" spans="1:52" ht="64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</row>
    <row r="356" spans="1:52" ht="64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</row>
    <row r="357" spans="1:52" ht="64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</row>
    <row r="358" spans="1:52" ht="64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</row>
    <row r="359" spans="1:52" ht="64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</row>
    <row r="360" spans="1:52" ht="64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</row>
    <row r="361" spans="1:52" ht="64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</row>
    <row r="362" spans="1:52" ht="64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</row>
    <row r="363" spans="1:52" ht="64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</row>
    <row r="364" spans="1:52" ht="64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</row>
    <row r="365" spans="1:52" ht="64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</row>
    <row r="366" spans="1:52" ht="64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</row>
    <row r="367" spans="1:52" ht="64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</row>
    <row r="368" spans="1:52" ht="64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</row>
    <row r="369" spans="1:52" ht="64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</row>
    <row r="370" spans="1:52" ht="64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</row>
    <row r="371" spans="1:52" ht="64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</row>
    <row r="372" spans="1:52" ht="64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</row>
    <row r="373" spans="1:52" ht="64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</row>
    <row r="374" spans="1:52" ht="64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</row>
    <row r="375" spans="1:52" ht="64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</row>
    <row r="376" spans="1:52" ht="64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</row>
    <row r="377" spans="1:52" ht="64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</row>
    <row r="378" spans="1:52" ht="64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</row>
    <row r="379" spans="1:52" ht="64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</row>
    <row r="380" spans="1:52" ht="64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</row>
    <row r="381" spans="1:52" ht="64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</row>
    <row r="382" spans="1:52" ht="64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</row>
    <row r="383" spans="1:52" ht="64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</row>
    <row r="384" spans="1:52" ht="64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</row>
    <row r="385" spans="1:52" ht="64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</row>
    <row r="386" spans="1:52" ht="64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</row>
    <row r="387" spans="1:52" ht="64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</row>
    <row r="388" spans="1:52" ht="64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</row>
    <row r="389" spans="1:52" ht="64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</row>
    <row r="390" spans="1:52" ht="64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</row>
    <row r="391" spans="1:52" ht="64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</row>
    <row r="392" spans="1:52" ht="64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</row>
    <row r="393" spans="1:52" ht="64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</row>
    <row r="394" spans="1:52" ht="64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</row>
    <row r="395" spans="1:52" ht="64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</row>
    <row r="396" spans="1:52" ht="64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</row>
    <row r="397" spans="1:52" ht="64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</row>
    <row r="398" spans="1:52" ht="64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</row>
    <row r="399" spans="1:52" ht="64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</row>
    <row r="400" spans="1:52" ht="64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</row>
    <row r="401" spans="1:52" ht="64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</row>
    <row r="402" spans="1:52" ht="64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</row>
    <row r="403" spans="1:52" ht="64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</row>
    <row r="404" spans="1:52" ht="64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</row>
    <row r="405" spans="1:52" ht="64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</row>
    <row r="406" spans="1:52" ht="64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</row>
    <row r="407" spans="1:52" ht="64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</row>
    <row r="408" spans="1:52" ht="64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</row>
    <row r="409" spans="1:52" ht="64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</row>
    <row r="410" spans="1:52" ht="64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</row>
    <row r="411" spans="1:52" ht="64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</row>
    <row r="412" spans="1:52" ht="64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</row>
    <row r="413" spans="1:52" ht="64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</row>
    <row r="414" spans="1:52" ht="64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</row>
    <row r="415" spans="1:52" ht="64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</row>
    <row r="416" spans="1:52" ht="64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</row>
    <row r="417" spans="1:52" ht="64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</row>
    <row r="418" spans="1:52" ht="64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</row>
    <row r="419" spans="1:52" ht="64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</row>
    <row r="420" spans="1:52" ht="64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</row>
    <row r="421" spans="1:52" ht="64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</row>
    <row r="422" spans="1:52" ht="64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</row>
    <row r="423" spans="1:52" ht="64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</row>
    <row r="424" spans="1:52" ht="64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</row>
    <row r="425" spans="1:52" ht="64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</row>
    <row r="426" spans="1:52" ht="64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</row>
    <row r="427" spans="1:52" ht="64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</row>
    <row r="428" spans="1:52" ht="64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</row>
    <row r="429" spans="1:52" ht="64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</row>
    <row r="430" spans="1:52" ht="64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</row>
    <row r="431" spans="1:52" ht="64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</row>
    <row r="432" spans="1:52" ht="64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</row>
    <row r="433" spans="1:52" ht="64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</row>
    <row r="434" spans="1:52" ht="64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</row>
    <row r="435" spans="1:52" ht="64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</row>
    <row r="436" spans="1:52" ht="64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</row>
    <row r="437" spans="1:52" ht="64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</row>
    <row r="438" spans="1:52" ht="64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</row>
    <row r="439" spans="1:52" ht="64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</row>
    <row r="440" spans="1:52" ht="64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</row>
    <row r="441" spans="1:52" ht="64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</row>
    <row r="442" spans="1:52" ht="64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</row>
    <row r="443" spans="1:52" ht="64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</row>
    <row r="444" spans="1:52" ht="64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</row>
    <row r="445" spans="1:52" ht="64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</row>
    <row r="446" spans="1:52" ht="64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</row>
    <row r="447" spans="1:52" ht="64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</row>
    <row r="448" spans="1:52" ht="64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</row>
    <row r="449" spans="1:52" ht="64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</row>
    <row r="450" spans="1:52" ht="64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</row>
    <row r="451" spans="1:52" ht="64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</row>
    <row r="452" spans="1:52" ht="64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</row>
    <row r="453" spans="1:52" ht="64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</row>
    <row r="454" spans="1:52" ht="64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</row>
    <row r="455" spans="1:52" ht="64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</row>
    <row r="456" spans="1:52" ht="64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</row>
    <row r="457" spans="1:52" ht="64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</row>
    <row r="458" spans="1:52" ht="64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</row>
    <row r="459" spans="1:52" ht="64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</row>
    <row r="460" spans="1:52" ht="64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</row>
    <row r="461" spans="1:52" ht="64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</row>
    <row r="462" spans="1:52" ht="64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</row>
    <row r="463" spans="1:52" ht="64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</row>
    <row r="464" spans="1:52" ht="64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</row>
    <row r="465" spans="1:52" ht="64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</row>
    <row r="466" spans="1:52" ht="64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</row>
    <row r="467" spans="1:52" ht="64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</row>
    <row r="468" spans="1:52" ht="64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</row>
    <row r="469" spans="1:52" ht="64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</row>
    <row r="470" spans="1:52" ht="64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</row>
    <row r="471" spans="1:52" ht="64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</row>
    <row r="472" spans="1:52" ht="64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</row>
    <row r="473" spans="1:52" ht="64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</row>
    <row r="474" spans="1:52" ht="64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</row>
    <row r="475" spans="1:52" ht="64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</row>
    <row r="476" spans="1:52" ht="64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</row>
    <row r="477" spans="1:52" ht="64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</row>
    <row r="478" spans="1:52" ht="64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</row>
    <row r="479" spans="1:52" ht="64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</row>
    <row r="480" spans="1:52" ht="64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</row>
    <row r="481" spans="1:52" ht="64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</row>
    <row r="482" spans="1:52" ht="64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</row>
    <row r="483" spans="1:52" ht="64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</row>
    <row r="484" spans="1:52" ht="64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</row>
    <row r="485" spans="1:52" ht="64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</row>
    <row r="486" spans="1:52" ht="64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</row>
    <row r="487" spans="1:52" ht="64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</row>
    <row r="488" spans="1:52" ht="64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</row>
    <row r="489" spans="1:52" ht="64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</row>
    <row r="490" spans="1:52" ht="64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</row>
    <row r="491" spans="1:52" ht="64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</row>
    <row r="492" spans="1:52" ht="64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</row>
    <row r="493" spans="1:52" ht="64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</row>
    <row r="494" spans="1:52" ht="64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</row>
    <row r="495" spans="1:52" ht="64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</row>
    <row r="496" spans="1:52" ht="64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</row>
    <row r="497" spans="1:52" ht="64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</row>
    <row r="498" spans="1:52" ht="64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</row>
    <row r="499" spans="1:52" ht="64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</row>
    <row r="500" spans="1:52" ht="64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</row>
    <row r="501" spans="1:52" ht="64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</row>
    <row r="502" spans="1:52" ht="64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</row>
    <row r="503" spans="1:52" ht="64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</row>
    <row r="504" spans="1:52" ht="64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</row>
    <row r="505" spans="1:52" ht="64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</row>
    <row r="506" spans="1:52" ht="64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</row>
    <row r="507" spans="1:52" ht="64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</row>
    <row r="508" spans="1:52" ht="64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</row>
    <row r="509" spans="1:52" ht="64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</row>
    <row r="510" spans="1:52" ht="64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</row>
    <row r="511" spans="1:52" ht="64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</row>
    <row r="512" spans="1:52" ht="64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</row>
    <row r="513" spans="1:52" ht="64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</row>
    <row r="514" spans="1:52" ht="64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</row>
    <row r="515" spans="1:52" ht="64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</row>
    <row r="516" spans="1:52" ht="64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</row>
    <row r="517" spans="1:52" ht="64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</row>
    <row r="518" spans="1:52" ht="64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</row>
    <row r="519" spans="1:52" ht="64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</row>
    <row r="520" spans="1:52" ht="64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</row>
    <row r="521" spans="1:52" ht="64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</row>
    <row r="522" spans="1:52" ht="64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</row>
    <row r="523" spans="1:52" ht="64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</row>
    <row r="524" spans="1:52" ht="64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</row>
    <row r="525" spans="1:52" ht="64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</row>
    <row r="526" spans="1:52" ht="64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</row>
    <row r="527" spans="1:52" ht="64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</row>
    <row r="528" spans="1:52" ht="64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</row>
    <row r="529" spans="1:52" ht="64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</row>
    <row r="530" spans="1:52" ht="64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</row>
    <row r="531" spans="1:52" ht="64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</row>
    <row r="532" spans="1:52" ht="64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</row>
    <row r="533" spans="1:52" ht="64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</row>
    <row r="534" spans="1:52" ht="64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</row>
    <row r="535" spans="1:52" ht="64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</row>
    <row r="536" spans="1:52" ht="64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</row>
    <row r="537" spans="1:52" ht="64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</row>
    <row r="538" spans="1:52" ht="64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</row>
    <row r="539" spans="1:52" ht="64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</row>
    <row r="540" spans="1:52" ht="64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</row>
    <row r="541" spans="1:52" ht="64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</row>
    <row r="542" spans="1:52" ht="64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</row>
    <row r="543" spans="1:52" ht="64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</row>
    <row r="544" spans="1:52" ht="64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</row>
    <row r="545" spans="1:52" ht="64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</row>
    <row r="546" spans="1:52" ht="64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</row>
    <row r="547" spans="1:52" ht="64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</row>
    <row r="548" spans="1:52" ht="64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</row>
    <row r="549" spans="1:52" ht="64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</row>
    <row r="550" spans="1:52" ht="64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</row>
    <row r="551" spans="1:52" ht="64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</row>
    <row r="552" spans="1:52" ht="64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</row>
    <row r="553" spans="1:52" ht="64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</row>
    <row r="554" spans="1:52" ht="64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</row>
    <row r="555" spans="1:52" ht="64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</row>
    <row r="556" spans="1:52" ht="64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</row>
    <row r="557" spans="1:52" ht="64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</row>
    <row r="558" spans="1:52" ht="64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</row>
    <row r="559" spans="1:52" ht="64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</row>
    <row r="560" spans="1:52" ht="64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</row>
    <row r="561" spans="1:52" ht="64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</row>
    <row r="562" spans="1:52" ht="64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</row>
    <row r="563" spans="1:52" ht="64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</row>
    <row r="564" spans="1:52" ht="64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</row>
    <row r="565" spans="1:52" ht="64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</row>
    <row r="566" spans="1:52" ht="64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</row>
    <row r="567" spans="1:52" ht="64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</row>
    <row r="568" spans="1:52" ht="64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</row>
    <row r="569" spans="1:52" ht="64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</row>
    <row r="570" spans="1:52" ht="64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</row>
    <row r="571" spans="1:52" ht="64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</row>
    <row r="572" spans="1:52" ht="64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</row>
    <row r="573" spans="1:52" ht="64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</row>
    <row r="574" spans="1:52" ht="64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</row>
    <row r="575" spans="1:52" ht="64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</row>
    <row r="576" spans="1:52" ht="64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</row>
    <row r="577" spans="1:52" ht="64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</row>
    <row r="578" spans="1:52" ht="64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</row>
    <row r="579" spans="1:52" ht="64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</row>
    <row r="580" spans="1:52" ht="64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</row>
    <row r="581" spans="1:52" ht="64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</row>
    <row r="582" spans="1:52" ht="64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</row>
    <row r="583" spans="1:52" ht="64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</row>
    <row r="584" spans="1:52" ht="64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</row>
    <row r="585" spans="1:52" ht="64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</row>
    <row r="586" spans="1:52" ht="64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</row>
    <row r="587" spans="1:52" ht="64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</row>
    <row r="588" spans="1:52" ht="64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</row>
    <row r="589" spans="1:52" ht="64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</row>
    <row r="590" spans="1:52" ht="64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</row>
    <row r="591" spans="1:52" ht="64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</row>
    <row r="592" spans="1:52" ht="64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</row>
    <row r="593" spans="1:52" ht="64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</row>
    <row r="594" spans="1:52" ht="64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</row>
    <row r="595" spans="1:52" ht="64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</row>
    <row r="596" spans="1:52" ht="64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</row>
    <row r="597" spans="1:52" ht="64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</row>
    <row r="598" spans="1:52" ht="64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</row>
    <row r="599" spans="1:52" ht="64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</row>
    <row r="600" spans="1:52" ht="64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</row>
    <row r="601" spans="1:52" ht="64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</row>
    <row r="602" spans="1:52" ht="64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</row>
    <row r="603" spans="1:52" ht="64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</row>
    <row r="604" spans="1:52" ht="64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</row>
    <row r="605" spans="1:52" ht="64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</row>
    <row r="606" spans="1:52" ht="64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</row>
    <row r="607" spans="1:52" ht="64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</row>
    <row r="608" spans="1:52" ht="64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</row>
    <row r="609" spans="1:52" ht="64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</row>
    <row r="610" spans="1:52" ht="64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</row>
    <row r="611" spans="1:52" ht="64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</row>
    <row r="612" spans="1:52" ht="64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</row>
    <row r="613" spans="1:52" ht="64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</row>
    <row r="614" spans="1:52" ht="64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</row>
    <row r="615" spans="1:52" ht="64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</row>
    <row r="616" spans="1:52" ht="64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</row>
    <row r="617" spans="1:52" ht="64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</row>
    <row r="618" spans="1:52" ht="64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</row>
    <row r="619" spans="1:52" ht="64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</row>
    <row r="620" spans="1:52" ht="64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</row>
    <row r="621" spans="1:52" ht="64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</row>
    <row r="622" spans="1:52" ht="64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</row>
    <row r="623" spans="1:52" ht="64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</row>
    <row r="624" spans="1:52" ht="64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</row>
    <row r="625" spans="1:52" ht="64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</row>
    <row r="626" spans="1:52" ht="64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</row>
    <row r="627" spans="1:52" ht="64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</row>
    <row r="628" spans="1:52" ht="64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</row>
    <row r="629" spans="1:52" ht="64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</row>
    <row r="630" spans="1:52" ht="64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</row>
    <row r="631" spans="1:52" ht="64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</row>
    <row r="632" spans="1:52" ht="64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</row>
    <row r="633" spans="1:52" ht="64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</row>
    <row r="634" spans="1:52" ht="64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</row>
    <row r="635" spans="1:52" ht="64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</row>
    <row r="636" spans="1:52" ht="64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</row>
    <row r="637" spans="1:52" ht="64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</row>
    <row r="638" spans="1:52" ht="64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</row>
    <row r="639" spans="1:52" ht="64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</row>
    <row r="640" spans="1:52" ht="64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</row>
    <row r="641" spans="1:52" ht="64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</row>
    <row r="642" spans="1:52" ht="64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</row>
    <row r="643" spans="1:52" ht="64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</row>
    <row r="644" spans="1:52" ht="64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</row>
    <row r="645" spans="1:52" ht="64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</row>
    <row r="646" spans="1:52" ht="64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</row>
    <row r="647" spans="1:52" ht="64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</row>
    <row r="648" spans="1:52" ht="64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</row>
    <row r="649" spans="1:52" ht="64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</row>
    <row r="650" spans="1:52" ht="64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</row>
    <row r="651" spans="1:52" ht="64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</row>
    <row r="652" spans="1:52" ht="64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</row>
    <row r="653" spans="1:52" ht="64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</row>
    <row r="654" spans="1:52" ht="64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</row>
    <row r="655" spans="1:52" ht="64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</row>
    <row r="656" spans="1:52" ht="64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</row>
    <row r="657" spans="1:52" ht="64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</row>
    <row r="658" spans="1:52" ht="64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</row>
    <row r="659" spans="1:52" ht="64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</row>
    <row r="660" spans="1:52" ht="64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</row>
    <row r="661" spans="1:52" ht="64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</row>
    <row r="662" spans="1:52" ht="64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</row>
    <row r="663" spans="1:52" ht="64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</row>
    <row r="664" spans="1:52" ht="64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</row>
    <row r="665" spans="1:52" ht="64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</row>
    <row r="666" spans="1:52" ht="64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</row>
    <row r="667" spans="1:52" ht="64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</row>
    <row r="668" spans="1:52" ht="64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</row>
    <row r="669" spans="1:52" ht="64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</row>
    <row r="670" spans="1:52" ht="64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</row>
    <row r="671" spans="1:52" ht="64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</row>
    <row r="672" spans="1:52" ht="64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</row>
    <row r="673" spans="1:52" ht="64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</row>
    <row r="674" spans="1:52" ht="64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</row>
    <row r="675" spans="1:52" ht="64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</row>
    <row r="676" spans="1:52" ht="64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</row>
    <row r="677" spans="1:52" ht="64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</row>
    <row r="678" spans="1:52" ht="64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</row>
    <row r="679" spans="1:52" ht="64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</row>
    <row r="680" spans="1:52" ht="64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</row>
    <row r="681" spans="1:52" ht="64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</row>
    <row r="682" spans="1:52" ht="64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</row>
    <row r="683" spans="1:52" ht="64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</row>
    <row r="684" spans="1:52" ht="64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</row>
    <row r="685" spans="1:52" ht="64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</row>
    <row r="686" spans="1:52" ht="64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</row>
    <row r="687" spans="1:52" ht="64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</row>
    <row r="688" spans="1:52" ht="64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</row>
    <row r="689" spans="1:52" ht="64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</row>
    <row r="690" spans="1:52" ht="64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</row>
    <row r="691" spans="1:52" ht="64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</row>
    <row r="692" spans="1:52" ht="64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</row>
    <row r="693" spans="1:52" ht="64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</row>
    <row r="694" spans="1:52" ht="64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</row>
    <row r="695" spans="1:52" ht="64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</row>
    <row r="696" spans="1:52" ht="64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</row>
    <row r="697" spans="1:52" ht="64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</row>
    <row r="698" spans="1:52" ht="64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</row>
    <row r="699" spans="1:52" ht="64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</row>
    <row r="700" spans="1:52" ht="64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</row>
    <row r="701" spans="1:52" ht="64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</row>
    <row r="702" spans="1:52" ht="64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</row>
    <row r="703" spans="1:52" ht="64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</row>
    <row r="704" spans="1:52" ht="64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</row>
    <row r="705" spans="1:52" ht="64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</row>
    <row r="706" spans="1:52" ht="64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</row>
    <row r="707" spans="1:52" ht="64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</row>
    <row r="708" spans="1:52" ht="64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</row>
    <row r="709" spans="1:52" ht="64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</row>
    <row r="710" spans="1:52" ht="64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</row>
    <row r="711" spans="1:52" ht="64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</row>
    <row r="712" spans="1:52" ht="64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</row>
    <row r="713" spans="1:52" ht="64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</row>
    <row r="714" spans="1:52" ht="64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</row>
    <row r="715" spans="1:52" ht="64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</row>
    <row r="716" spans="1:52" ht="64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</row>
    <row r="717" spans="1:52" ht="64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</row>
    <row r="718" spans="1:52" ht="64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</row>
    <row r="719" spans="1:52" ht="64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</row>
    <row r="720" spans="1:52" ht="64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</row>
    <row r="721" spans="1:52" ht="64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</row>
    <row r="722" spans="1:52" ht="64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</row>
    <row r="723" spans="1:52" ht="64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</row>
    <row r="724" spans="1:52" ht="64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</row>
    <row r="725" spans="1:52" ht="64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</row>
    <row r="726" spans="1:52" ht="64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</row>
    <row r="727" spans="1:52" ht="64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</row>
    <row r="728" spans="1:52" ht="64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</row>
    <row r="729" spans="1:52" ht="64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</row>
    <row r="730" spans="1:52" ht="64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</row>
    <row r="731" spans="1:52" ht="64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</row>
    <row r="732" spans="1:52" ht="64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</row>
    <row r="733" spans="1:52" ht="64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</row>
    <row r="734" spans="1:52" ht="64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</row>
    <row r="735" spans="1:52" ht="64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</row>
    <row r="736" spans="1:52" ht="64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</row>
    <row r="737" spans="1:52" ht="64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</row>
    <row r="738" spans="1:52" ht="64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</row>
    <row r="739" spans="1:52" ht="64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</row>
    <row r="740" spans="1:52" ht="64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</row>
    <row r="741" spans="1:52" ht="64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</row>
    <row r="742" spans="1:52" ht="64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</row>
    <row r="743" spans="1:52" ht="64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</row>
    <row r="744" spans="1:52" ht="64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</row>
    <row r="745" spans="1:52" ht="64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</row>
    <row r="746" spans="1:52" ht="64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</row>
    <row r="747" spans="1:52" ht="64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</row>
    <row r="748" spans="1:52" ht="64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</row>
    <row r="749" spans="1:52" ht="64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</row>
    <row r="750" spans="1:52" ht="64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</row>
    <row r="751" spans="1:52" ht="64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</row>
    <row r="752" spans="1:52" ht="64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</row>
    <row r="753" spans="1:52" ht="64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</row>
    <row r="754" spans="1:52" ht="64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</row>
    <row r="755" spans="1:52" ht="64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</row>
    <row r="756" spans="1:52" ht="64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</row>
    <row r="757" spans="1:52" ht="64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</row>
    <row r="758" spans="1:52" ht="64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</row>
    <row r="759" spans="1:52" ht="64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</row>
    <row r="760" spans="1:52" ht="64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</row>
    <row r="761" spans="1:52" ht="64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</row>
    <row r="762" spans="1:52" ht="64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</row>
    <row r="763" spans="1:52" ht="64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</row>
    <row r="764" spans="1:52" ht="64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</row>
    <row r="765" spans="1:52" ht="64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</row>
    <row r="766" spans="1:52" ht="64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</row>
    <row r="767" spans="1:52" ht="64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</row>
    <row r="768" spans="1:52" ht="64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</row>
    <row r="769" spans="1:52" ht="64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</row>
    <row r="770" spans="1:52" ht="64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</row>
    <row r="771" spans="1:52" ht="64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</row>
    <row r="772" spans="1:52" ht="64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</row>
    <row r="773" spans="1:52" ht="64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</row>
    <row r="774" spans="1:52" ht="64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</row>
    <row r="775" spans="1:52" ht="64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</row>
    <row r="776" spans="1:52" ht="64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</row>
    <row r="777" spans="1:52" ht="64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</row>
    <row r="778" spans="1:52" ht="64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</row>
    <row r="779" spans="1:52" ht="64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</row>
    <row r="780" spans="1:52" ht="64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</row>
    <row r="781" spans="1:52" ht="64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</row>
    <row r="782" spans="1:52" ht="64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</row>
    <row r="783" spans="1:52" ht="64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</row>
    <row r="784" spans="1:52" ht="64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</row>
    <row r="785" spans="1:52" ht="64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</row>
    <row r="786" spans="1:52" ht="64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</row>
    <row r="787" spans="1:52" ht="64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</row>
    <row r="788" spans="1:52" ht="64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</row>
    <row r="789" spans="1:52" ht="64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</row>
    <row r="790" spans="1:52" ht="64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</row>
    <row r="791" spans="1:52" ht="64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</row>
    <row r="792" spans="1:52" ht="64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</row>
    <row r="793" spans="1:52" ht="64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</row>
    <row r="794" spans="1:52" ht="64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</row>
    <row r="795" spans="1:52" ht="64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</row>
    <row r="796" spans="1:52" ht="64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</row>
    <row r="797" spans="1:52" ht="64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</row>
    <row r="798" spans="1:52" ht="64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</row>
    <row r="799" spans="1:52" ht="64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</row>
    <row r="800" spans="1:52" ht="64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</row>
    <row r="801" spans="1:52" ht="64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</row>
    <row r="802" spans="1:52" ht="64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</row>
    <row r="803" spans="1:52" ht="64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</row>
    <row r="804" spans="1:52" ht="64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</row>
    <row r="805" spans="1:52" ht="64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</row>
    <row r="806" spans="1:52" ht="64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</row>
    <row r="807" spans="1:52" ht="64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</row>
    <row r="808" spans="1:52" ht="64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</row>
    <row r="809" spans="1:52" ht="64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</row>
    <row r="810" spans="1:52" ht="64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</row>
    <row r="811" spans="1:52" ht="64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</row>
    <row r="812" spans="1:52" ht="64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</row>
    <row r="813" spans="1:52" ht="64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</row>
    <row r="814" spans="1:52" ht="64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</row>
    <row r="815" spans="1:52" ht="64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</row>
    <row r="816" spans="1:52" ht="64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</row>
    <row r="817" spans="1:52" ht="64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</row>
    <row r="818" spans="1:52" ht="64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</row>
    <row r="819" spans="1:52" ht="64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</row>
    <row r="820" spans="1:52" ht="64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</row>
    <row r="821" spans="1:52" ht="64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</row>
    <row r="822" spans="1:52" ht="64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</row>
    <row r="823" spans="1:52" ht="64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</row>
    <row r="824" spans="1:52" ht="64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</row>
    <row r="825" spans="1:52" ht="64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</row>
    <row r="826" spans="1:52" ht="64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</row>
    <row r="827" spans="1:52" ht="64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</row>
    <row r="828" spans="1:52" ht="64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</row>
    <row r="829" spans="1:52" ht="64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</row>
    <row r="830" spans="1:52" ht="64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</row>
    <row r="831" spans="1:52" ht="64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</row>
    <row r="832" spans="1:52" ht="64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</row>
    <row r="833" spans="1:52" ht="64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</row>
    <row r="834" spans="1:52" ht="64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</row>
    <row r="835" spans="1:52" ht="64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</row>
    <row r="836" spans="1:52" ht="64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</row>
    <row r="837" spans="1:52" ht="64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</row>
    <row r="838" spans="1:52" ht="64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</row>
    <row r="839" spans="1:52" ht="64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</row>
    <row r="840" spans="1:52" ht="64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</row>
    <row r="841" spans="1:52" ht="64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</row>
    <row r="842" spans="1:52" ht="64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</row>
    <row r="843" spans="1:52" ht="64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</row>
    <row r="844" spans="1:52" ht="64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</row>
    <row r="845" spans="1:52" ht="64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</row>
    <row r="846" spans="1:52" ht="64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</row>
    <row r="847" spans="1:52" ht="64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</row>
    <row r="848" spans="1:52" ht="64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</row>
    <row r="849" spans="1:52" ht="64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</row>
    <row r="850" spans="1:52" ht="64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</row>
    <row r="851" spans="1:52" ht="64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</row>
    <row r="852" spans="1:52" ht="64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</row>
    <row r="853" spans="1:52" ht="64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</row>
    <row r="854" spans="1:52" ht="64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</row>
    <row r="855" spans="1:52" ht="64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</row>
    <row r="856" spans="1:52" ht="64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</row>
    <row r="857" spans="1:52" ht="64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</row>
    <row r="858" spans="1:52" ht="64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</row>
    <row r="859" spans="1:52" ht="64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</row>
    <row r="860" spans="1:52" ht="64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</row>
    <row r="861" spans="1:52" ht="64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</row>
    <row r="862" spans="1:52" ht="64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</row>
    <row r="863" spans="1:52" ht="64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</row>
    <row r="864" spans="1:52" ht="64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</row>
    <row r="865" spans="1:52" ht="64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</row>
    <row r="866" spans="1:52" ht="64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</row>
    <row r="867" spans="1:52" ht="64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</row>
    <row r="868" spans="1:52" ht="64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</row>
    <row r="869" spans="1:52" ht="64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</row>
    <row r="870" spans="1:52" ht="64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</row>
    <row r="871" spans="1:52" ht="64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</row>
    <row r="872" spans="1:52" ht="64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</row>
    <row r="873" spans="1:52" ht="64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</row>
    <row r="874" spans="1:52" ht="64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</row>
    <row r="875" spans="1:52" ht="64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</row>
    <row r="876" spans="1:52" ht="64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</row>
    <row r="877" spans="1:52" ht="64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</row>
    <row r="878" spans="1:52" ht="64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</row>
    <row r="879" spans="1:52" ht="64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</row>
    <row r="880" spans="1:52" ht="64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</row>
    <row r="881" spans="1:52" ht="64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</row>
    <row r="882" spans="1:52" ht="64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</row>
    <row r="883" spans="1:52" ht="64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</row>
    <row r="884" spans="1:52" ht="64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</row>
    <row r="885" spans="1:52" ht="64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</row>
    <row r="886" spans="1:52" ht="64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</row>
    <row r="887" spans="1:52" ht="64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</row>
    <row r="888" spans="1:52" ht="64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</row>
    <row r="889" spans="1:52" ht="64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</row>
    <row r="890" spans="1:52" ht="64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</row>
    <row r="891" spans="1:52" ht="64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</row>
    <row r="892" spans="1:52" ht="64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</row>
    <row r="893" spans="1:52" ht="64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</row>
    <row r="894" spans="1:52" ht="64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</row>
    <row r="895" spans="1:52" ht="64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</row>
    <row r="896" spans="1:52" ht="64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</row>
    <row r="897" spans="1:52" ht="64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</row>
    <row r="898" spans="1:52" ht="64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</row>
    <row r="899" spans="1:52" ht="64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</row>
    <row r="900" spans="1:52" ht="64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</row>
    <row r="901" spans="1:52" ht="64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</row>
    <row r="902" spans="1:52" ht="64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</row>
    <row r="903" spans="1:52" ht="64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</row>
    <row r="904" spans="1:52" ht="64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</row>
    <row r="905" spans="1:52" ht="64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</row>
    <row r="906" spans="1:52" ht="64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</row>
    <row r="907" spans="1:52" ht="64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</row>
    <row r="908" spans="1:52" ht="64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</row>
    <row r="909" spans="1:52" ht="64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</row>
    <row r="910" spans="1:52" ht="64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</row>
    <row r="911" spans="1:52" ht="64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</row>
    <row r="912" spans="1:52" ht="64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</row>
    <row r="913" spans="1:52" ht="64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</row>
    <row r="914" spans="1:52" ht="64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</row>
    <row r="915" spans="1:52" ht="64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</row>
    <row r="916" spans="1:52" ht="64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</row>
    <row r="917" spans="1:52" ht="64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</row>
    <row r="918" spans="1:52" ht="64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</row>
    <row r="919" spans="1:52" ht="64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</row>
    <row r="920" spans="1:52" ht="64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</row>
    <row r="921" spans="1:52" ht="64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</row>
    <row r="922" spans="1:52" ht="64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</row>
    <row r="923" spans="1:52" ht="64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</row>
    <row r="924" spans="1:52" ht="64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</row>
    <row r="925" spans="1:52" ht="64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</row>
    <row r="926" spans="1:52" ht="64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</row>
    <row r="927" spans="1:52" ht="64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</row>
    <row r="928" spans="1:52" ht="64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</row>
    <row r="929" spans="1:52" ht="64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</row>
    <row r="930" spans="1:52" ht="64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</row>
    <row r="931" spans="1:52" ht="64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</row>
    <row r="932" spans="1:52" ht="64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</row>
    <row r="933" spans="1:52" ht="64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</row>
    <row r="934" spans="1:52" ht="64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</row>
    <row r="935" spans="1:52" ht="64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</row>
    <row r="936" spans="1:52" ht="64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</row>
    <row r="937" spans="1:52" ht="64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</row>
    <row r="938" spans="1:52" ht="64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</row>
    <row r="939" spans="1:52" ht="64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</row>
    <row r="940" spans="1:52" ht="64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</row>
    <row r="941" spans="1:52" ht="64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</row>
    <row r="942" spans="1:52" ht="64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</row>
    <row r="943" spans="1:52" ht="64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</row>
    <row r="944" spans="1:52" ht="64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</row>
    <row r="945" spans="1:52" ht="64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</row>
    <row r="946" spans="1:52" ht="64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</row>
    <row r="947" spans="1:52" ht="64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</row>
    <row r="948" spans="1:52" ht="64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</row>
    <row r="949" spans="1:52" ht="64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</row>
    <row r="950" spans="1:52" ht="64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</row>
    <row r="951" spans="1:52" ht="64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</row>
    <row r="952" spans="1:52" ht="64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</row>
    <row r="953" spans="1:52" ht="64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</row>
    <row r="954" spans="1:52" ht="64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</row>
    <row r="955" spans="1:52" ht="64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</row>
    <row r="956" spans="1:52" ht="64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</row>
    <row r="957" spans="1:52" ht="64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</row>
    <row r="958" spans="1:52" ht="64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</row>
    <row r="959" spans="1:52" ht="64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</row>
    <row r="960" spans="1:52" ht="64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</row>
    <row r="961" spans="1:52" ht="64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</row>
    <row r="962" spans="1:52" ht="64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</row>
    <row r="963" spans="1:52" ht="64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</row>
    <row r="964" spans="1:52" ht="64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</row>
    <row r="965" spans="1:52" ht="64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</row>
    <row r="966" spans="1:52" ht="64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</row>
    <row r="967" spans="1:52" ht="64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</row>
    <row r="968" spans="1:52" ht="64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</row>
    <row r="969" spans="1:52" ht="64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</row>
    <row r="970" spans="1:52" ht="64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</row>
    <row r="971" spans="1:52" ht="64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</row>
    <row r="972" spans="1:52" ht="64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</row>
    <row r="973" spans="1:52" ht="64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</row>
    <row r="974" spans="1:52" ht="64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</row>
    <row r="975" spans="1:52" ht="64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</row>
    <row r="976" spans="1:52" ht="64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</row>
    <row r="977" spans="1:52" ht="64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</row>
    <row r="978" spans="1:52" ht="64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</row>
    <row r="979" spans="1:52" ht="64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</row>
    <row r="980" spans="1:52" ht="64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</row>
    <row r="981" spans="1:52" ht="64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</row>
    <row r="982" spans="1:52" ht="64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</row>
    <row r="983" spans="1:52" ht="64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</row>
    <row r="984" spans="1:52" ht="64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</row>
    <row r="985" spans="1:52" ht="64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</row>
    <row r="986" spans="1:52" ht="64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</row>
    <row r="987" spans="1:52" ht="64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</row>
    <row r="988" spans="1:52" ht="64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</row>
    <row r="989" spans="1:52" ht="64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</row>
    <row r="990" spans="1:52" ht="64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</row>
    <row r="991" spans="1:52" ht="64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</row>
    <row r="992" spans="1:52" ht="64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</row>
    <row r="993" spans="1:52" ht="64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</row>
    <row r="994" spans="1:52" ht="64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</row>
    <row r="995" spans="1:52" ht="64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</row>
    <row r="996" spans="1:52" ht="64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</row>
    <row r="997" spans="1:52" ht="64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</row>
    <row r="998" spans="1:52" ht="64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</row>
    <row r="999" spans="1:52" ht="64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</row>
    <row r="1000" spans="1:52" ht="64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1000"/>
  <sheetViews>
    <sheetView workbookViewId="0"/>
  </sheetViews>
  <sheetFormatPr baseColWidth="10" defaultColWidth="8.83203125" defaultRowHeight="15"/>
  <cols>
    <col min="1" max="1" width="10" customWidth="1"/>
    <col min="2" max="2" width="24" customWidth="1"/>
    <col min="3" max="3" width="28" customWidth="1"/>
    <col min="4" max="4" width="58" customWidth="1"/>
    <col min="5" max="5" width="48" customWidth="1"/>
    <col min="6" max="6" width="18" customWidth="1"/>
  </cols>
  <sheetData>
    <row r="1" spans="1:52" ht="45.25" customHeight="1">
      <c r="A1" s="5" t="s">
        <v>1818</v>
      </c>
      <c r="B1" s="5" t="s">
        <v>30</v>
      </c>
      <c r="C1" s="5" t="s">
        <v>1819</v>
      </c>
      <c r="D1" s="5" t="s">
        <v>1820</v>
      </c>
      <c r="E1" s="5" t="s">
        <v>1821</v>
      </c>
      <c r="F1" s="5" t="s">
        <v>1822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2" ht="64" customHeight="1">
      <c r="A2" s="4" t="s">
        <v>1520</v>
      </c>
      <c r="B2" s="4" t="s">
        <v>252</v>
      </c>
      <c r="C2" s="4" t="s">
        <v>1823</v>
      </c>
      <c r="D2" s="4" t="s">
        <v>1824</v>
      </c>
      <c r="E2" s="4" t="s">
        <v>1825</v>
      </c>
      <c r="F2" s="4" t="s">
        <v>1826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:52" ht="64" customHeight="1">
      <c r="A3" s="4" t="s">
        <v>1520</v>
      </c>
      <c r="B3" s="4" t="s">
        <v>196</v>
      </c>
      <c r="C3" s="4" t="s">
        <v>1827</v>
      </c>
      <c r="D3" s="4" t="s">
        <v>1828</v>
      </c>
      <c r="E3" s="4" t="s">
        <v>1829</v>
      </c>
      <c r="F3" s="4" t="s">
        <v>1830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 spans="1:52" ht="64" customHeight="1">
      <c r="A4" s="4" t="s">
        <v>1520</v>
      </c>
      <c r="B4" s="4" t="s">
        <v>385</v>
      </c>
      <c r="C4" s="4" t="s">
        <v>1831</v>
      </c>
      <c r="D4" s="4" t="s">
        <v>1832</v>
      </c>
      <c r="E4" s="4" t="s">
        <v>1833</v>
      </c>
      <c r="F4" s="4" t="s">
        <v>1830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1:52" ht="64" customHeight="1">
      <c r="A5" s="4" t="s">
        <v>1520</v>
      </c>
      <c r="B5" s="4" t="s">
        <v>441</v>
      </c>
      <c r="C5" s="4" t="s">
        <v>1834</v>
      </c>
      <c r="D5" s="4" t="s">
        <v>1835</v>
      </c>
      <c r="E5" s="4" t="s">
        <v>1836</v>
      </c>
      <c r="F5" s="4" t="s">
        <v>1830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52" ht="64" customHeight="1">
      <c r="A6" s="4" t="s">
        <v>1520</v>
      </c>
      <c r="B6" s="4" t="s">
        <v>360</v>
      </c>
      <c r="C6" s="4" t="s">
        <v>1837</v>
      </c>
      <c r="D6" s="4" t="s">
        <v>1838</v>
      </c>
      <c r="E6" s="4" t="s">
        <v>1839</v>
      </c>
      <c r="F6" s="4" t="s">
        <v>1830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spans="1:52" ht="64" customHeight="1">
      <c r="A7" s="4" t="s">
        <v>1506</v>
      </c>
      <c r="B7" s="4" t="s">
        <v>554</v>
      </c>
      <c r="C7" s="4" t="s">
        <v>1840</v>
      </c>
      <c r="D7" s="4" t="s">
        <v>1841</v>
      </c>
      <c r="E7" s="4" t="s">
        <v>1842</v>
      </c>
      <c r="F7" s="4" t="s">
        <v>1830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spans="1:52" ht="64" customHeight="1">
      <c r="A8" s="4" t="s">
        <v>1506</v>
      </c>
      <c r="B8" s="4" t="s">
        <v>594</v>
      </c>
      <c r="C8" s="4" t="s">
        <v>1843</v>
      </c>
      <c r="D8" s="4" t="s">
        <v>1844</v>
      </c>
      <c r="E8" s="4" t="s">
        <v>1845</v>
      </c>
      <c r="F8" s="4" t="s">
        <v>1830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spans="1:52" ht="64" customHeight="1">
      <c r="A9" s="4" t="s">
        <v>1506</v>
      </c>
      <c r="B9" s="4" t="s">
        <v>1846</v>
      </c>
      <c r="C9" s="4" t="s">
        <v>1847</v>
      </c>
      <c r="D9" s="4" t="s">
        <v>1848</v>
      </c>
      <c r="E9" s="4" t="s">
        <v>1849</v>
      </c>
      <c r="F9" s="4" t="s">
        <v>1826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spans="1:52" ht="64" customHeight="1">
      <c r="A10" s="4" t="s">
        <v>1506</v>
      </c>
      <c r="B10" s="4" t="s">
        <v>930</v>
      </c>
      <c r="C10" s="4" t="s">
        <v>929</v>
      </c>
      <c r="D10" s="4" t="s">
        <v>1850</v>
      </c>
      <c r="E10" s="4" t="s">
        <v>1851</v>
      </c>
      <c r="F10" s="4" t="s">
        <v>1073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1:52" ht="64" customHeight="1">
      <c r="A11" s="4" t="s">
        <v>1506</v>
      </c>
      <c r="B11" s="4" t="s">
        <v>1852</v>
      </c>
      <c r="C11" s="4" t="s">
        <v>1853</v>
      </c>
      <c r="D11" s="4" t="s">
        <v>1854</v>
      </c>
      <c r="E11" s="4" t="s">
        <v>1855</v>
      </c>
      <c r="F11" s="4" t="s">
        <v>1073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52" ht="64" customHeight="1">
      <c r="A12" s="4" t="s">
        <v>1506</v>
      </c>
      <c r="B12" s="4" t="s">
        <v>1147</v>
      </c>
      <c r="C12" s="4" t="s">
        <v>1146</v>
      </c>
      <c r="D12" s="4" t="s">
        <v>1856</v>
      </c>
      <c r="E12" s="4" t="s">
        <v>1857</v>
      </c>
      <c r="F12" s="4" t="s">
        <v>1073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spans="1:52" ht="64" customHeight="1">
      <c r="A13" s="4" t="s">
        <v>1858</v>
      </c>
      <c r="B13" s="4" t="s">
        <v>1859</v>
      </c>
      <c r="C13" s="4" t="s">
        <v>1860</v>
      </c>
      <c r="D13" s="4" t="s">
        <v>1861</v>
      </c>
      <c r="E13" s="4" t="s">
        <v>1862</v>
      </c>
      <c r="F13" s="4" t="s">
        <v>1073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spans="1:52" ht="64" customHeight="1">
      <c r="A14" s="4" t="s">
        <v>1858</v>
      </c>
      <c r="B14" s="4" t="s">
        <v>1262</v>
      </c>
      <c r="C14" s="4" t="s">
        <v>1261</v>
      </c>
      <c r="D14" s="4" t="s">
        <v>1863</v>
      </c>
      <c r="E14" s="4" t="s">
        <v>1864</v>
      </c>
      <c r="F14" s="4" t="s">
        <v>881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1:52" ht="64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pans="1:52" ht="64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1:52" ht="64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1:52" ht="64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1:52" ht="64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spans="1:52" ht="64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spans="1:52" ht="64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spans="1:52" ht="64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2" ht="64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ht="64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spans="1:52" ht="64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spans="1:52" ht="64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spans="1:52" ht="64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spans="1:52" ht="64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spans="1:52" ht="64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spans="1:52" ht="64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1:52" ht="64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spans="1:52" ht="64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1:52" ht="64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64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spans="1:52" ht="64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pans="1:52" ht="64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pans="1:52" ht="64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spans="1:52" ht="64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spans="1:52" ht="64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64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1:52" ht="64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spans="1:52" ht="64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spans="1:52" ht="64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 spans="1:52" ht="64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 spans="1:52" ht="64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 spans="1:52" ht="64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 spans="1:52" ht="64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 spans="1:52" ht="64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 spans="1:52" ht="64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 spans="1:52" ht="64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 spans="1:52" ht="64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 spans="1:52" ht="64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 spans="1:52" ht="64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 spans="1:52" ht="64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 spans="1:52" ht="64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 spans="1:52" ht="64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 spans="1:52" ht="64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 spans="1:52" ht="64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 spans="1:52" ht="64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 spans="1:52" ht="64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spans="1:52" ht="64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 spans="1:52" ht="64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 spans="1:52" ht="64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 spans="1:52" ht="64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 spans="1:52" ht="64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 spans="1:52" ht="64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 spans="1:52" ht="64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 spans="1:52" ht="64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 spans="1:52" ht="64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 spans="1:52" ht="64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 spans="1:52" ht="64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 spans="1:52" ht="64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 spans="1:52" ht="64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 spans="1:52" ht="64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 spans="1:52" ht="64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 spans="1:52" ht="64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 spans="1:52" ht="64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 spans="1:52" ht="64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 spans="1:52" ht="64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 spans="1:52" ht="64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  <row r="81" spans="1:52" ht="64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</row>
    <row r="82" spans="1:52" ht="64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</row>
    <row r="83" spans="1:52" ht="64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</row>
    <row r="84" spans="1:52" ht="64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</row>
    <row r="85" spans="1:52" ht="64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</row>
    <row r="86" spans="1:52" ht="64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</row>
    <row r="87" spans="1:52" ht="64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</row>
    <row r="88" spans="1:52" ht="64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</row>
    <row r="89" spans="1:52" ht="64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</row>
    <row r="90" spans="1:52" ht="64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</row>
    <row r="91" spans="1:52" ht="64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</row>
    <row r="92" spans="1:52" ht="64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</row>
    <row r="93" spans="1:52" ht="64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</row>
    <row r="94" spans="1:52" ht="64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</row>
    <row r="95" spans="1:52" ht="64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</row>
    <row r="96" spans="1:52" ht="64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</row>
    <row r="97" spans="1:52" ht="64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</row>
    <row r="98" spans="1:52" ht="64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</row>
    <row r="99" spans="1:52" ht="64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</row>
    <row r="100" spans="1:52" ht="64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</row>
    <row r="101" spans="1:52" ht="64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</row>
    <row r="102" spans="1:52" ht="64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</row>
    <row r="103" spans="1:52" ht="64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</row>
    <row r="104" spans="1:52" ht="64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</row>
    <row r="105" spans="1:52" ht="64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 spans="1:52" ht="64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</row>
    <row r="107" spans="1:52" ht="64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</row>
    <row r="108" spans="1:52" ht="64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</row>
    <row r="109" spans="1:52" ht="64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</row>
    <row r="110" spans="1:52" ht="64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</row>
    <row r="111" spans="1:52" ht="64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</row>
    <row r="112" spans="1:52" ht="64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</row>
    <row r="113" spans="1:52" ht="64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</row>
    <row r="114" spans="1:52" ht="64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</row>
    <row r="115" spans="1:52" ht="64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</row>
    <row r="116" spans="1:52" ht="64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</row>
    <row r="117" spans="1:52" ht="64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</row>
    <row r="118" spans="1:52" ht="64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</row>
    <row r="119" spans="1:52" ht="64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</row>
    <row r="120" spans="1:52" ht="64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</row>
    <row r="121" spans="1:52" ht="64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</row>
    <row r="122" spans="1:52" ht="64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</row>
    <row r="123" spans="1:52" ht="64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</row>
    <row r="124" spans="1:52" ht="64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</row>
    <row r="125" spans="1:52" ht="64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</row>
    <row r="126" spans="1:52" ht="64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</row>
    <row r="127" spans="1:52" ht="64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</row>
    <row r="128" spans="1:52" ht="64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</row>
    <row r="129" spans="1:52" ht="64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</row>
    <row r="130" spans="1:52" ht="64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</row>
    <row r="131" spans="1:52" ht="64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</row>
    <row r="132" spans="1:52" ht="64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</row>
    <row r="133" spans="1:52" ht="64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</row>
    <row r="134" spans="1:52" ht="64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</row>
    <row r="135" spans="1:52" ht="64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</row>
    <row r="136" spans="1:52" ht="64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</row>
    <row r="137" spans="1:52" ht="64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</row>
    <row r="138" spans="1:52" ht="64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</row>
    <row r="139" spans="1:52" ht="64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</row>
    <row r="140" spans="1:52" ht="64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</row>
    <row r="141" spans="1:52" ht="64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</row>
    <row r="142" spans="1:52" ht="64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</row>
    <row r="143" spans="1:52" ht="64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</row>
    <row r="144" spans="1:52" ht="64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</row>
    <row r="145" spans="1:52" ht="64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</row>
    <row r="146" spans="1:52" ht="64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</row>
    <row r="147" spans="1:52" ht="64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</row>
    <row r="148" spans="1:52" ht="64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</row>
    <row r="149" spans="1:52" ht="64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</row>
    <row r="150" spans="1:52" ht="64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</row>
    <row r="151" spans="1:52" ht="64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</row>
    <row r="152" spans="1:52" ht="64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</row>
    <row r="153" spans="1:52" ht="64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</row>
    <row r="154" spans="1:52" ht="64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</row>
    <row r="155" spans="1:52" ht="64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</row>
    <row r="156" spans="1:52" ht="64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</row>
    <row r="157" spans="1:52" ht="64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</row>
    <row r="158" spans="1:52" ht="64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</row>
    <row r="159" spans="1:52" ht="64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</row>
    <row r="160" spans="1:52" ht="64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</row>
    <row r="161" spans="1:52" ht="64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</row>
    <row r="162" spans="1:52" ht="64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</row>
    <row r="163" spans="1:52" ht="64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</row>
    <row r="164" spans="1:52" ht="64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</row>
    <row r="165" spans="1:52" ht="64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</row>
    <row r="166" spans="1:52" ht="64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</row>
    <row r="167" spans="1:52" ht="64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</row>
    <row r="168" spans="1:52" ht="64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</row>
    <row r="169" spans="1:52" ht="64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</row>
    <row r="170" spans="1:52" ht="64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</row>
    <row r="171" spans="1:52" ht="64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</row>
    <row r="172" spans="1:52" ht="64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</row>
    <row r="173" spans="1:52" ht="64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</row>
    <row r="174" spans="1:52" ht="64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</row>
    <row r="175" spans="1:52" ht="64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</row>
    <row r="176" spans="1:52" ht="64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</row>
    <row r="177" spans="1:52" ht="64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</row>
    <row r="178" spans="1:52" ht="64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</row>
    <row r="179" spans="1:52" ht="64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</row>
    <row r="180" spans="1:52" ht="64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</row>
    <row r="181" spans="1:52" ht="64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</row>
    <row r="182" spans="1:52" ht="64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</row>
    <row r="183" spans="1:52" ht="64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</row>
    <row r="184" spans="1:52" ht="64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</row>
    <row r="185" spans="1:52" ht="64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</row>
    <row r="186" spans="1:52" ht="64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</row>
    <row r="187" spans="1:52" ht="64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</row>
    <row r="188" spans="1:52" ht="64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</row>
    <row r="189" spans="1:52" ht="64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</row>
    <row r="190" spans="1:52" ht="64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</row>
    <row r="191" spans="1:52" ht="64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</row>
    <row r="192" spans="1:52" ht="64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</row>
    <row r="193" spans="1:52" ht="64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</row>
    <row r="194" spans="1:52" ht="64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</row>
    <row r="195" spans="1:52" ht="64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</row>
    <row r="196" spans="1:52" ht="64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</row>
    <row r="197" spans="1:52" ht="64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</row>
    <row r="198" spans="1:52" ht="64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</row>
    <row r="199" spans="1:52" ht="64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</row>
    <row r="200" spans="1:52" ht="64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</row>
    <row r="201" spans="1:52" ht="64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</row>
    <row r="202" spans="1:52" ht="64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</row>
    <row r="203" spans="1:52" ht="64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</row>
    <row r="204" spans="1:52" ht="64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</row>
    <row r="205" spans="1:52" ht="64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</row>
    <row r="206" spans="1:52" ht="64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</row>
    <row r="207" spans="1:52" ht="64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</row>
    <row r="208" spans="1:52" ht="64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</row>
    <row r="209" spans="1:52" ht="64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</row>
    <row r="210" spans="1:52" ht="64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</row>
    <row r="211" spans="1:52" ht="64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</row>
    <row r="212" spans="1:52" ht="64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</row>
    <row r="213" spans="1:52" ht="64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</row>
    <row r="214" spans="1:52" ht="64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</row>
    <row r="215" spans="1:52" ht="64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</row>
    <row r="216" spans="1:52" ht="64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</row>
    <row r="217" spans="1:52" ht="64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</row>
    <row r="218" spans="1:52" ht="64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</row>
    <row r="219" spans="1:52" ht="64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</row>
    <row r="220" spans="1:52" ht="64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</row>
    <row r="221" spans="1:52" ht="64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</row>
    <row r="222" spans="1:52" ht="64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</row>
    <row r="223" spans="1:52" ht="64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</row>
    <row r="224" spans="1:52" ht="64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</row>
    <row r="225" spans="1:52" ht="64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</row>
    <row r="226" spans="1:52" ht="64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</row>
    <row r="227" spans="1:52" ht="64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</row>
    <row r="228" spans="1:52" ht="64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</row>
    <row r="229" spans="1:52" ht="64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</row>
    <row r="230" spans="1:52" ht="64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</row>
    <row r="231" spans="1:52" ht="64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</row>
    <row r="232" spans="1:52" ht="64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</row>
    <row r="233" spans="1:52" ht="64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</row>
    <row r="234" spans="1:52" ht="64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</row>
    <row r="235" spans="1:52" ht="64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</row>
    <row r="236" spans="1:52" ht="64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</row>
    <row r="237" spans="1:52" ht="64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</row>
    <row r="238" spans="1:52" ht="64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</row>
    <row r="239" spans="1:52" ht="64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</row>
    <row r="240" spans="1:52" ht="64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</row>
    <row r="241" spans="1:52" ht="64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</row>
    <row r="242" spans="1:52" ht="64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</row>
    <row r="243" spans="1:52" ht="64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</row>
    <row r="244" spans="1:52" ht="64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</row>
    <row r="245" spans="1:52" ht="64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</row>
    <row r="246" spans="1:52" ht="64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</row>
    <row r="247" spans="1:52" ht="64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</row>
    <row r="248" spans="1:52" ht="64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</row>
    <row r="249" spans="1:52" ht="64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</row>
    <row r="250" spans="1:52" ht="64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</row>
    <row r="251" spans="1:52" ht="64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</row>
    <row r="252" spans="1:52" ht="64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</row>
    <row r="253" spans="1:52" ht="64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</row>
    <row r="254" spans="1:52" ht="64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</row>
    <row r="255" spans="1:52" ht="64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</row>
    <row r="256" spans="1:52" ht="64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</row>
    <row r="257" spans="1:52" ht="64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</row>
    <row r="258" spans="1:52" ht="64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</row>
    <row r="259" spans="1:52" ht="64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</row>
    <row r="260" spans="1:52" ht="64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</row>
    <row r="261" spans="1:52" ht="64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</row>
    <row r="262" spans="1:52" ht="64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</row>
    <row r="263" spans="1:52" ht="64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</row>
    <row r="264" spans="1:52" ht="64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</row>
    <row r="265" spans="1:52" ht="64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</row>
    <row r="266" spans="1:52" ht="64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</row>
    <row r="267" spans="1:52" ht="64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</row>
    <row r="268" spans="1:52" ht="64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</row>
    <row r="269" spans="1:52" ht="64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</row>
    <row r="270" spans="1:52" ht="64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</row>
    <row r="271" spans="1:52" ht="64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</row>
    <row r="272" spans="1:52" ht="64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</row>
    <row r="273" spans="1:52" ht="64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</row>
    <row r="274" spans="1:52" ht="64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</row>
    <row r="275" spans="1:52" ht="64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</row>
    <row r="276" spans="1:52" ht="64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</row>
    <row r="277" spans="1:52" ht="64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</row>
    <row r="278" spans="1:52" ht="64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</row>
    <row r="279" spans="1:52" ht="64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</row>
    <row r="280" spans="1:52" ht="64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</row>
    <row r="281" spans="1:52" ht="64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</row>
    <row r="282" spans="1:52" ht="64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</row>
    <row r="283" spans="1:52" ht="64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</row>
    <row r="284" spans="1:52" ht="64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</row>
    <row r="285" spans="1:52" ht="64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</row>
    <row r="286" spans="1:52" ht="64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</row>
    <row r="287" spans="1:52" ht="64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</row>
    <row r="288" spans="1:52" ht="64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</row>
    <row r="289" spans="1:52" ht="64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</row>
    <row r="290" spans="1:52" ht="64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</row>
    <row r="291" spans="1:52" ht="64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</row>
    <row r="292" spans="1:52" ht="64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</row>
    <row r="293" spans="1:52" ht="64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</row>
    <row r="294" spans="1:52" ht="64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</row>
    <row r="295" spans="1:52" ht="64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</row>
    <row r="296" spans="1:52" ht="64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</row>
    <row r="297" spans="1:52" ht="64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</row>
    <row r="298" spans="1:52" ht="64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</row>
    <row r="299" spans="1:52" ht="64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</row>
    <row r="300" spans="1:52" ht="64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</row>
    <row r="301" spans="1:52" ht="64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</row>
    <row r="302" spans="1:52" ht="64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</row>
    <row r="303" spans="1:52" ht="64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</row>
    <row r="304" spans="1:52" ht="64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</row>
    <row r="305" spans="1:52" ht="64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</row>
    <row r="306" spans="1:52" ht="64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</row>
    <row r="307" spans="1:52" ht="64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</row>
    <row r="308" spans="1:52" ht="64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</row>
    <row r="309" spans="1:52" ht="64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</row>
    <row r="310" spans="1:52" ht="64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</row>
    <row r="311" spans="1:52" ht="64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</row>
    <row r="312" spans="1:52" ht="64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</row>
    <row r="313" spans="1:52" ht="64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</row>
    <row r="314" spans="1:52" ht="64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</row>
    <row r="315" spans="1:52" ht="64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</row>
    <row r="316" spans="1:52" ht="64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</row>
    <row r="317" spans="1:52" ht="64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</row>
    <row r="318" spans="1:52" ht="64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</row>
    <row r="319" spans="1:52" ht="64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</row>
    <row r="320" spans="1:52" ht="64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</row>
    <row r="321" spans="1:52" ht="64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</row>
    <row r="322" spans="1:52" ht="64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</row>
    <row r="323" spans="1:52" ht="64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</row>
    <row r="324" spans="1:52" ht="64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</row>
    <row r="325" spans="1:52" ht="64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</row>
    <row r="326" spans="1:52" ht="64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</row>
    <row r="327" spans="1:52" ht="64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</row>
    <row r="328" spans="1:52" ht="64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</row>
    <row r="329" spans="1:52" ht="64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</row>
    <row r="330" spans="1:52" ht="64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</row>
    <row r="331" spans="1:52" ht="64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</row>
    <row r="332" spans="1:52" ht="64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</row>
    <row r="333" spans="1:52" ht="64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</row>
    <row r="334" spans="1:52" ht="64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</row>
    <row r="335" spans="1:52" ht="64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</row>
    <row r="336" spans="1:52" ht="64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</row>
    <row r="337" spans="1:52" ht="64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</row>
    <row r="338" spans="1:52" ht="64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</row>
    <row r="339" spans="1:52" ht="64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</row>
    <row r="340" spans="1:52" ht="64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</row>
    <row r="341" spans="1:52" ht="64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</row>
    <row r="342" spans="1:52" ht="64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</row>
    <row r="343" spans="1:52" ht="64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</row>
    <row r="344" spans="1:52" ht="64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</row>
    <row r="345" spans="1:52" ht="64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</row>
    <row r="346" spans="1:52" ht="64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</row>
    <row r="347" spans="1:52" ht="64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</row>
    <row r="348" spans="1:52" ht="64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</row>
    <row r="349" spans="1:52" ht="64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</row>
    <row r="350" spans="1:52" ht="64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</row>
    <row r="351" spans="1:52" ht="64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</row>
    <row r="352" spans="1:52" ht="64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</row>
    <row r="353" spans="1:52" ht="64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</row>
    <row r="354" spans="1:52" ht="64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</row>
    <row r="355" spans="1:52" ht="64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</row>
    <row r="356" spans="1:52" ht="64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</row>
    <row r="357" spans="1:52" ht="64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</row>
    <row r="358" spans="1:52" ht="64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</row>
    <row r="359" spans="1:52" ht="64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</row>
    <row r="360" spans="1:52" ht="64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</row>
    <row r="361" spans="1:52" ht="64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</row>
    <row r="362" spans="1:52" ht="64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</row>
    <row r="363" spans="1:52" ht="64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</row>
    <row r="364" spans="1:52" ht="64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</row>
    <row r="365" spans="1:52" ht="64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</row>
    <row r="366" spans="1:52" ht="64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</row>
    <row r="367" spans="1:52" ht="64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</row>
    <row r="368" spans="1:52" ht="64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</row>
    <row r="369" spans="1:52" ht="64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</row>
    <row r="370" spans="1:52" ht="64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</row>
    <row r="371" spans="1:52" ht="64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</row>
    <row r="372" spans="1:52" ht="64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</row>
    <row r="373" spans="1:52" ht="64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</row>
    <row r="374" spans="1:52" ht="64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</row>
    <row r="375" spans="1:52" ht="64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</row>
    <row r="376" spans="1:52" ht="64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</row>
    <row r="377" spans="1:52" ht="64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</row>
    <row r="378" spans="1:52" ht="64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</row>
    <row r="379" spans="1:52" ht="64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</row>
    <row r="380" spans="1:52" ht="64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</row>
    <row r="381" spans="1:52" ht="64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</row>
    <row r="382" spans="1:52" ht="64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</row>
    <row r="383" spans="1:52" ht="64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</row>
    <row r="384" spans="1:52" ht="64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</row>
    <row r="385" spans="1:52" ht="64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</row>
    <row r="386" spans="1:52" ht="64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</row>
    <row r="387" spans="1:52" ht="64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</row>
    <row r="388" spans="1:52" ht="64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</row>
    <row r="389" spans="1:52" ht="64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</row>
    <row r="390" spans="1:52" ht="64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</row>
    <row r="391" spans="1:52" ht="64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</row>
    <row r="392" spans="1:52" ht="64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</row>
    <row r="393" spans="1:52" ht="64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</row>
    <row r="394" spans="1:52" ht="64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</row>
    <row r="395" spans="1:52" ht="64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</row>
    <row r="396" spans="1:52" ht="64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</row>
    <row r="397" spans="1:52" ht="64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</row>
    <row r="398" spans="1:52" ht="64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</row>
    <row r="399" spans="1:52" ht="64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</row>
    <row r="400" spans="1:52" ht="64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</row>
    <row r="401" spans="1:52" ht="64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</row>
    <row r="402" spans="1:52" ht="64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</row>
    <row r="403" spans="1:52" ht="64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</row>
    <row r="404" spans="1:52" ht="64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</row>
    <row r="405" spans="1:52" ht="64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</row>
    <row r="406" spans="1:52" ht="64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</row>
    <row r="407" spans="1:52" ht="64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</row>
    <row r="408" spans="1:52" ht="64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</row>
    <row r="409" spans="1:52" ht="64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</row>
    <row r="410" spans="1:52" ht="64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</row>
    <row r="411" spans="1:52" ht="64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</row>
    <row r="412" spans="1:52" ht="64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</row>
    <row r="413" spans="1:52" ht="64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</row>
    <row r="414" spans="1:52" ht="64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</row>
    <row r="415" spans="1:52" ht="64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</row>
    <row r="416" spans="1:52" ht="64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</row>
    <row r="417" spans="1:52" ht="64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</row>
    <row r="418" spans="1:52" ht="64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</row>
    <row r="419" spans="1:52" ht="64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</row>
    <row r="420" spans="1:52" ht="64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</row>
    <row r="421" spans="1:52" ht="64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</row>
    <row r="422" spans="1:52" ht="64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</row>
    <row r="423" spans="1:52" ht="64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</row>
    <row r="424" spans="1:52" ht="64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</row>
    <row r="425" spans="1:52" ht="64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</row>
    <row r="426" spans="1:52" ht="64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</row>
    <row r="427" spans="1:52" ht="64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</row>
    <row r="428" spans="1:52" ht="64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</row>
    <row r="429" spans="1:52" ht="64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</row>
    <row r="430" spans="1:52" ht="64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</row>
    <row r="431" spans="1:52" ht="64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</row>
    <row r="432" spans="1:52" ht="64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</row>
    <row r="433" spans="1:52" ht="64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</row>
    <row r="434" spans="1:52" ht="64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</row>
    <row r="435" spans="1:52" ht="64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</row>
    <row r="436" spans="1:52" ht="64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</row>
    <row r="437" spans="1:52" ht="64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</row>
    <row r="438" spans="1:52" ht="64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</row>
    <row r="439" spans="1:52" ht="64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</row>
    <row r="440" spans="1:52" ht="64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</row>
    <row r="441" spans="1:52" ht="64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</row>
    <row r="442" spans="1:52" ht="64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</row>
    <row r="443" spans="1:52" ht="64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</row>
    <row r="444" spans="1:52" ht="64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</row>
    <row r="445" spans="1:52" ht="64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</row>
    <row r="446" spans="1:52" ht="64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</row>
    <row r="447" spans="1:52" ht="64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</row>
    <row r="448" spans="1:52" ht="64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</row>
    <row r="449" spans="1:52" ht="64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</row>
    <row r="450" spans="1:52" ht="64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</row>
    <row r="451" spans="1:52" ht="64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</row>
    <row r="452" spans="1:52" ht="64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</row>
    <row r="453" spans="1:52" ht="64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</row>
    <row r="454" spans="1:52" ht="64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</row>
    <row r="455" spans="1:52" ht="64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</row>
    <row r="456" spans="1:52" ht="64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</row>
    <row r="457" spans="1:52" ht="64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</row>
    <row r="458" spans="1:52" ht="64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</row>
    <row r="459" spans="1:52" ht="64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</row>
    <row r="460" spans="1:52" ht="64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</row>
    <row r="461" spans="1:52" ht="64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</row>
    <row r="462" spans="1:52" ht="64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</row>
    <row r="463" spans="1:52" ht="64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</row>
    <row r="464" spans="1:52" ht="64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</row>
    <row r="465" spans="1:52" ht="64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</row>
    <row r="466" spans="1:52" ht="64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</row>
    <row r="467" spans="1:52" ht="64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</row>
    <row r="468" spans="1:52" ht="64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</row>
    <row r="469" spans="1:52" ht="64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</row>
    <row r="470" spans="1:52" ht="64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</row>
    <row r="471" spans="1:52" ht="64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</row>
    <row r="472" spans="1:52" ht="64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</row>
    <row r="473" spans="1:52" ht="64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</row>
    <row r="474" spans="1:52" ht="64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</row>
    <row r="475" spans="1:52" ht="64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</row>
    <row r="476" spans="1:52" ht="64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</row>
    <row r="477" spans="1:52" ht="64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</row>
    <row r="478" spans="1:52" ht="64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</row>
    <row r="479" spans="1:52" ht="64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</row>
    <row r="480" spans="1:52" ht="64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</row>
    <row r="481" spans="1:52" ht="64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</row>
    <row r="482" spans="1:52" ht="64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</row>
    <row r="483" spans="1:52" ht="64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</row>
    <row r="484" spans="1:52" ht="64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</row>
    <row r="485" spans="1:52" ht="64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</row>
    <row r="486" spans="1:52" ht="64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</row>
    <row r="487" spans="1:52" ht="64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</row>
    <row r="488" spans="1:52" ht="64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</row>
    <row r="489" spans="1:52" ht="64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</row>
    <row r="490" spans="1:52" ht="64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</row>
    <row r="491" spans="1:52" ht="64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</row>
    <row r="492" spans="1:52" ht="64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</row>
    <row r="493" spans="1:52" ht="64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</row>
    <row r="494" spans="1:52" ht="64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</row>
    <row r="495" spans="1:52" ht="64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</row>
    <row r="496" spans="1:52" ht="64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</row>
    <row r="497" spans="1:52" ht="64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</row>
    <row r="498" spans="1:52" ht="64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</row>
    <row r="499" spans="1:52" ht="64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</row>
    <row r="500" spans="1:52" ht="64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</row>
    <row r="501" spans="1:52" ht="64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</row>
    <row r="502" spans="1:52" ht="64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</row>
    <row r="503" spans="1:52" ht="64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</row>
    <row r="504" spans="1:52" ht="64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</row>
    <row r="505" spans="1:52" ht="64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</row>
    <row r="506" spans="1:52" ht="64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</row>
    <row r="507" spans="1:52" ht="64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</row>
    <row r="508" spans="1:52" ht="64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</row>
    <row r="509" spans="1:52" ht="64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</row>
    <row r="510" spans="1:52" ht="64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</row>
    <row r="511" spans="1:52" ht="64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</row>
    <row r="512" spans="1:52" ht="64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</row>
    <row r="513" spans="1:52" ht="64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</row>
    <row r="514" spans="1:52" ht="64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</row>
    <row r="515" spans="1:52" ht="64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</row>
    <row r="516" spans="1:52" ht="64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</row>
    <row r="517" spans="1:52" ht="64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</row>
    <row r="518" spans="1:52" ht="64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</row>
    <row r="519" spans="1:52" ht="64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</row>
    <row r="520" spans="1:52" ht="64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</row>
    <row r="521" spans="1:52" ht="64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</row>
    <row r="522" spans="1:52" ht="64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</row>
    <row r="523" spans="1:52" ht="64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</row>
    <row r="524" spans="1:52" ht="64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</row>
    <row r="525" spans="1:52" ht="64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</row>
    <row r="526" spans="1:52" ht="64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</row>
    <row r="527" spans="1:52" ht="64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</row>
    <row r="528" spans="1:52" ht="64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</row>
    <row r="529" spans="1:52" ht="64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</row>
    <row r="530" spans="1:52" ht="64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</row>
    <row r="531" spans="1:52" ht="64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</row>
    <row r="532" spans="1:52" ht="64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</row>
    <row r="533" spans="1:52" ht="64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</row>
    <row r="534" spans="1:52" ht="64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</row>
    <row r="535" spans="1:52" ht="64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</row>
    <row r="536" spans="1:52" ht="64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</row>
    <row r="537" spans="1:52" ht="64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</row>
    <row r="538" spans="1:52" ht="64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</row>
    <row r="539" spans="1:52" ht="64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</row>
    <row r="540" spans="1:52" ht="64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</row>
    <row r="541" spans="1:52" ht="64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</row>
    <row r="542" spans="1:52" ht="64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</row>
    <row r="543" spans="1:52" ht="64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</row>
    <row r="544" spans="1:52" ht="64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</row>
    <row r="545" spans="1:52" ht="64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</row>
    <row r="546" spans="1:52" ht="64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</row>
    <row r="547" spans="1:52" ht="64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</row>
    <row r="548" spans="1:52" ht="64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</row>
    <row r="549" spans="1:52" ht="64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</row>
    <row r="550" spans="1:52" ht="64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</row>
    <row r="551" spans="1:52" ht="64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</row>
    <row r="552" spans="1:52" ht="64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</row>
    <row r="553" spans="1:52" ht="64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</row>
    <row r="554" spans="1:52" ht="64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</row>
    <row r="555" spans="1:52" ht="64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</row>
    <row r="556" spans="1:52" ht="64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</row>
    <row r="557" spans="1:52" ht="64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</row>
    <row r="558" spans="1:52" ht="64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</row>
    <row r="559" spans="1:52" ht="64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</row>
    <row r="560" spans="1:52" ht="64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</row>
    <row r="561" spans="1:52" ht="64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</row>
    <row r="562" spans="1:52" ht="64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</row>
    <row r="563" spans="1:52" ht="64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</row>
    <row r="564" spans="1:52" ht="64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</row>
    <row r="565" spans="1:52" ht="64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</row>
    <row r="566" spans="1:52" ht="64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</row>
    <row r="567" spans="1:52" ht="64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</row>
    <row r="568" spans="1:52" ht="64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</row>
    <row r="569" spans="1:52" ht="64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</row>
    <row r="570" spans="1:52" ht="64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</row>
    <row r="571" spans="1:52" ht="64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</row>
    <row r="572" spans="1:52" ht="64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</row>
    <row r="573" spans="1:52" ht="64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</row>
    <row r="574" spans="1:52" ht="64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</row>
    <row r="575" spans="1:52" ht="64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</row>
    <row r="576" spans="1:52" ht="64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</row>
    <row r="577" spans="1:52" ht="64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</row>
    <row r="578" spans="1:52" ht="64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</row>
    <row r="579" spans="1:52" ht="64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</row>
    <row r="580" spans="1:52" ht="64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</row>
    <row r="581" spans="1:52" ht="64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</row>
    <row r="582" spans="1:52" ht="64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</row>
    <row r="583" spans="1:52" ht="64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</row>
    <row r="584" spans="1:52" ht="64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</row>
    <row r="585" spans="1:52" ht="64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</row>
    <row r="586" spans="1:52" ht="64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</row>
    <row r="587" spans="1:52" ht="64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</row>
    <row r="588" spans="1:52" ht="64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</row>
    <row r="589" spans="1:52" ht="64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</row>
    <row r="590" spans="1:52" ht="64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</row>
    <row r="591" spans="1:52" ht="64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</row>
    <row r="592" spans="1:52" ht="64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</row>
    <row r="593" spans="1:52" ht="64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</row>
    <row r="594" spans="1:52" ht="64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</row>
    <row r="595" spans="1:52" ht="64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</row>
    <row r="596" spans="1:52" ht="64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</row>
    <row r="597" spans="1:52" ht="64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</row>
    <row r="598" spans="1:52" ht="64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</row>
    <row r="599" spans="1:52" ht="64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</row>
    <row r="600" spans="1:52" ht="64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</row>
    <row r="601" spans="1:52" ht="64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</row>
    <row r="602" spans="1:52" ht="64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</row>
    <row r="603" spans="1:52" ht="64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</row>
    <row r="604" spans="1:52" ht="64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</row>
    <row r="605" spans="1:52" ht="64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</row>
    <row r="606" spans="1:52" ht="64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</row>
    <row r="607" spans="1:52" ht="64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</row>
    <row r="608" spans="1:52" ht="64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</row>
    <row r="609" spans="1:52" ht="64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</row>
    <row r="610" spans="1:52" ht="64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</row>
    <row r="611" spans="1:52" ht="64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</row>
    <row r="612" spans="1:52" ht="64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</row>
    <row r="613" spans="1:52" ht="64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</row>
    <row r="614" spans="1:52" ht="64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</row>
    <row r="615" spans="1:52" ht="64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</row>
    <row r="616" spans="1:52" ht="64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</row>
    <row r="617" spans="1:52" ht="64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</row>
    <row r="618" spans="1:52" ht="64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</row>
    <row r="619" spans="1:52" ht="64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</row>
    <row r="620" spans="1:52" ht="64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</row>
    <row r="621" spans="1:52" ht="64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</row>
    <row r="622" spans="1:52" ht="64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</row>
    <row r="623" spans="1:52" ht="64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</row>
    <row r="624" spans="1:52" ht="64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</row>
    <row r="625" spans="1:52" ht="64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</row>
    <row r="626" spans="1:52" ht="64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</row>
    <row r="627" spans="1:52" ht="64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</row>
    <row r="628" spans="1:52" ht="64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</row>
    <row r="629" spans="1:52" ht="64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</row>
    <row r="630" spans="1:52" ht="64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</row>
    <row r="631" spans="1:52" ht="64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</row>
    <row r="632" spans="1:52" ht="64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</row>
    <row r="633" spans="1:52" ht="64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</row>
    <row r="634" spans="1:52" ht="64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</row>
    <row r="635" spans="1:52" ht="64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</row>
    <row r="636" spans="1:52" ht="64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</row>
    <row r="637" spans="1:52" ht="64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</row>
    <row r="638" spans="1:52" ht="64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</row>
    <row r="639" spans="1:52" ht="64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</row>
    <row r="640" spans="1:52" ht="64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</row>
    <row r="641" spans="1:52" ht="64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</row>
    <row r="642" spans="1:52" ht="64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</row>
    <row r="643" spans="1:52" ht="64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</row>
    <row r="644" spans="1:52" ht="64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</row>
    <row r="645" spans="1:52" ht="64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</row>
    <row r="646" spans="1:52" ht="64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</row>
    <row r="647" spans="1:52" ht="64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</row>
    <row r="648" spans="1:52" ht="64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</row>
    <row r="649" spans="1:52" ht="64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</row>
    <row r="650" spans="1:52" ht="64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</row>
    <row r="651" spans="1:52" ht="64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</row>
    <row r="652" spans="1:52" ht="64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</row>
    <row r="653" spans="1:52" ht="64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</row>
    <row r="654" spans="1:52" ht="64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</row>
    <row r="655" spans="1:52" ht="64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</row>
    <row r="656" spans="1:52" ht="64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</row>
    <row r="657" spans="1:52" ht="64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</row>
    <row r="658" spans="1:52" ht="64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</row>
    <row r="659" spans="1:52" ht="64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</row>
    <row r="660" spans="1:52" ht="64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</row>
    <row r="661" spans="1:52" ht="64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</row>
    <row r="662" spans="1:52" ht="64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</row>
    <row r="663" spans="1:52" ht="64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</row>
    <row r="664" spans="1:52" ht="64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</row>
    <row r="665" spans="1:52" ht="64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</row>
    <row r="666" spans="1:52" ht="64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</row>
    <row r="667" spans="1:52" ht="64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</row>
    <row r="668" spans="1:52" ht="64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</row>
    <row r="669" spans="1:52" ht="64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</row>
    <row r="670" spans="1:52" ht="64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</row>
    <row r="671" spans="1:52" ht="64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</row>
    <row r="672" spans="1:52" ht="64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</row>
    <row r="673" spans="1:52" ht="64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</row>
    <row r="674" spans="1:52" ht="64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</row>
    <row r="675" spans="1:52" ht="64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</row>
    <row r="676" spans="1:52" ht="64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</row>
    <row r="677" spans="1:52" ht="64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</row>
    <row r="678" spans="1:52" ht="64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</row>
    <row r="679" spans="1:52" ht="64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</row>
    <row r="680" spans="1:52" ht="64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</row>
    <row r="681" spans="1:52" ht="64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</row>
    <row r="682" spans="1:52" ht="64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</row>
    <row r="683" spans="1:52" ht="64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</row>
    <row r="684" spans="1:52" ht="64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</row>
    <row r="685" spans="1:52" ht="64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</row>
    <row r="686" spans="1:52" ht="64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</row>
    <row r="687" spans="1:52" ht="64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</row>
    <row r="688" spans="1:52" ht="64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</row>
    <row r="689" spans="1:52" ht="64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</row>
    <row r="690" spans="1:52" ht="64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</row>
    <row r="691" spans="1:52" ht="64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</row>
    <row r="692" spans="1:52" ht="64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</row>
    <row r="693" spans="1:52" ht="64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</row>
    <row r="694" spans="1:52" ht="64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</row>
    <row r="695" spans="1:52" ht="64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</row>
    <row r="696" spans="1:52" ht="64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</row>
    <row r="697" spans="1:52" ht="64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</row>
    <row r="698" spans="1:52" ht="64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</row>
    <row r="699" spans="1:52" ht="64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</row>
    <row r="700" spans="1:52" ht="64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</row>
    <row r="701" spans="1:52" ht="64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</row>
    <row r="702" spans="1:52" ht="64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</row>
    <row r="703" spans="1:52" ht="64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</row>
    <row r="704" spans="1:52" ht="64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</row>
    <row r="705" spans="1:52" ht="64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</row>
    <row r="706" spans="1:52" ht="64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</row>
    <row r="707" spans="1:52" ht="64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</row>
    <row r="708" spans="1:52" ht="64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</row>
    <row r="709" spans="1:52" ht="64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</row>
    <row r="710" spans="1:52" ht="64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</row>
    <row r="711" spans="1:52" ht="64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</row>
    <row r="712" spans="1:52" ht="64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</row>
    <row r="713" spans="1:52" ht="64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</row>
    <row r="714" spans="1:52" ht="64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</row>
    <row r="715" spans="1:52" ht="64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</row>
    <row r="716" spans="1:52" ht="64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</row>
    <row r="717" spans="1:52" ht="64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</row>
    <row r="718" spans="1:52" ht="64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</row>
    <row r="719" spans="1:52" ht="64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</row>
    <row r="720" spans="1:52" ht="64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</row>
    <row r="721" spans="1:52" ht="64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</row>
    <row r="722" spans="1:52" ht="64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</row>
    <row r="723" spans="1:52" ht="64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</row>
    <row r="724" spans="1:52" ht="64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</row>
    <row r="725" spans="1:52" ht="64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</row>
    <row r="726" spans="1:52" ht="64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</row>
    <row r="727" spans="1:52" ht="64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</row>
    <row r="728" spans="1:52" ht="64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</row>
    <row r="729" spans="1:52" ht="64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</row>
    <row r="730" spans="1:52" ht="64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</row>
    <row r="731" spans="1:52" ht="64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</row>
    <row r="732" spans="1:52" ht="64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</row>
    <row r="733" spans="1:52" ht="64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</row>
    <row r="734" spans="1:52" ht="64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</row>
    <row r="735" spans="1:52" ht="64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</row>
    <row r="736" spans="1:52" ht="64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</row>
    <row r="737" spans="1:52" ht="64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</row>
    <row r="738" spans="1:52" ht="64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</row>
    <row r="739" spans="1:52" ht="64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</row>
    <row r="740" spans="1:52" ht="64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</row>
    <row r="741" spans="1:52" ht="64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</row>
    <row r="742" spans="1:52" ht="64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</row>
    <row r="743" spans="1:52" ht="64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</row>
    <row r="744" spans="1:52" ht="64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</row>
    <row r="745" spans="1:52" ht="64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</row>
    <row r="746" spans="1:52" ht="64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</row>
    <row r="747" spans="1:52" ht="64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</row>
    <row r="748" spans="1:52" ht="64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</row>
    <row r="749" spans="1:52" ht="64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</row>
    <row r="750" spans="1:52" ht="64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</row>
    <row r="751" spans="1:52" ht="64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</row>
    <row r="752" spans="1:52" ht="64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</row>
    <row r="753" spans="1:52" ht="64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</row>
    <row r="754" spans="1:52" ht="64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</row>
    <row r="755" spans="1:52" ht="64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</row>
    <row r="756" spans="1:52" ht="64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</row>
    <row r="757" spans="1:52" ht="64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</row>
    <row r="758" spans="1:52" ht="64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</row>
    <row r="759" spans="1:52" ht="64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</row>
    <row r="760" spans="1:52" ht="64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</row>
    <row r="761" spans="1:52" ht="64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</row>
    <row r="762" spans="1:52" ht="64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</row>
    <row r="763" spans="1:52" ht="64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</row>
    <row r="764" spans="1:52" ht="64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</row>
    <row r="765" spans="1:52" ht="64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</row>
    <row r="766" spans="1:52" ht="64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</row>
    <row r="767" spans="1:52" ht="64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</row>
    <row r="768" spans="1:52" ht="64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</row>
    <row r="769" spans="1:52" ht="64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</row>
    <row r="770" spans="1:52" ht="64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</row>
    <row r="771" spans="1:52" ht="64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</row>
    <row r="772" spans="1:52" ht="64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</row>
    <row r="773" spans="1:52" ht="64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</row>
    <row r="774" spans="1:52" ht="64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</row>
    <row r="775" spans="1:52" ht="64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</row>
    <row r="776" spans="1:52" ht="64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</row>
    <row r="777" spans="1:52" ht="64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</row>
    <row r="778" spans="1:52" ht="64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</row>
    <row r="779" spans="1:52" ht="64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</row>
    <row r="780" spans="1:52" ht="64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</row>
    <row r="781" spans="1:52" ht="64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</row>
    <row r="782" spans="1:52" ht="64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</row>
    <row r="783" spans="1:52" ht="64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</row>
    <row r="784" spans="1:52" ht="64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</row>
    <row r="785" spans="1:52" ht="64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</row>
    <row r="786" spans="1:52" ht="64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</row>
    <row r="787" spans="1:52" ht="64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</row>
    <row r="788" spans="1:52" ht="64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</row>
    <row r="789" spans="1:52" ht="64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</row>
    <row r="790" spans="1:52" ht="64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</row>
    <row r="791" spans="1:52" ht="64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</row>
    <row r="792" spans="1:52" ht="64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</row>
    <row r="793" spans="1:52" ht="64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</row>
    <row r="794" spans="1:52" ht="64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</row>
    <row r="795" spans="1:52" ht="64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</row>
    <row r="796" spans="1:52" ht="64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</row>
    <row r="797" spans="1:52" ht="64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</row>
    <row r="798" spans="1:52" ht="64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</row>
    <row r="799" spans="1:52" ht="64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</row>
    <row r="800" spans="1:52" ht="64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</row>
    <row r="801" spans="1:52" ht="64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</row>
    <row r="802" spans="1:52" ht="64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</row>
    <row r="803" spans="1:52" ht="64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</row>
    <row r="804" spans="1:52" ht="64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</row>
    <row r="805" spans="1:52" ht="64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</row>
    <row r="806" spans="1:52" ht="64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</row>
    <row r="807" spans="1:52" ht="64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</row>
    <row r="808" spans="1:52" ht="64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</row>
    <row r="809" spans="1:52" ht="64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</row>
    <row r="810" spans="1:52" ht="64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</row>
    <row r="811" spans="1:52" ht="64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</row>
    <row r="812" spans="1:52" ht="64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</row>
    <row r="813" spans="1:52" ht="64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</row>
    <row r="814" spans="1:52" ht="64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</row>
    <row r="815" spans="1:52" ht="64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</row>
    <row r="816" spans="1:52" ht="64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</row>
    <row r="817" spans="1:52" ht="64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</row>
    <row r="818" spans="1:52" ht="64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</row>
    <row r="819" spans="1:52" ht="64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</row>
    <row r="820" spans="1:52" ht="64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</row>
    <row r="821" spans="1:52" ht="64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</row>
    <row r="822" spans="1:52" ht="64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</row>
    <row r="823" spans="1:52" ht="64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</row>
    <row r="824" spans="1:52" ht="64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</row>
    <row r="825" spans="1:52" ht="64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</row>
    <row r="826" spans="1:52" ht="64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</row>
    <row r="827" spans="1:52" ht="64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</row>
    <row r="828" spans="1:52" ht="64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</row>
    <row r="829" spans="1:52" ht="64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</row>
    <row r="830" spans="1:52" ht="64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</row>
    <row r="831" spans="1:52" ht="64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</row>
    <row r="832" spans="1:52" ht="64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</row>
    <row r="833" spans="1:52" ht="64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</row>
    <row r="834" spans="1:52" ht="64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</row>
    <row r="835" spans="1:52" ht="64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</row>
    <row r="836" spans="1:52" ht="64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</row>
    <row r="837" spans="1:52" ht="64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</row>
    <row r="838" spans="1:52" ht="64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</row>
    <row r="839" spans="1:52" ht="64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</row>
    <row r="840" spans="1:52" ht="64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</row>
    <row r="841" spans="1:52" ht="64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</row>
    <row r="842" spans="1:52" ht="64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</row>
    <row r="843" spans="1:52" ht="64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</row>
    <row r="844" spans="1:52" ht="64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</row>
    <row r="845" spans="1:52" ht="64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</row>
    <row r="846" spans="1:52" ht="64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</row>
    <row r="847" spans="1:52" ht="64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</row>
    <row r="848" spans="1:52" ht="64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</row>
    <row r="849" spans="1:52" ht="64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</row>
    <row r="850" spans="1:52" ht="64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</row>
    <row r="851" spans="1:52" ht="64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</row>
    <row r="852" spans="1:52" ht="64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</row>
    <row r="853" spans="1:52" ht="64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</row>
    <row r="854" spans="1:52" ht="64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</row>
    <row r="855" spans="1:52" ht="64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</row>
    <row r="856" spans="1:52" ht="64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</row>
    <row r="857" spans="1:52" ht="64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</row>
    <row r="858" spans="1:52" ht="64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</row>
    <row r="859" spans="1:52" ht="64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</row>
    <row r="860" spans="1:52" ht="64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</row>
    <row r="861" spans="1:52" ht="64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</row>
    <row r="862" spans="1:52" ht="64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</row>
    <row r="863" spans="1:52" ht="64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</row>
    <row r="864" spans="1:52" ht="64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</row>
    <row r="865" spans="1:52" ht="64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</row>
    <row r="866" spans="1:52" ht="64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</row>
    <row r="867" spans="1:52" ht="64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</row>
    <row r="868" spans="1:52" ht="64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</row>
    <row r="869" spans="1:52" ht="64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</row>
    <row r="870" spans="1:52" ht="64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</row>
    <row r="871" spans="1:52" ht="64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</row>
    <row r="872" spans="1:52" ht="64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</row>
    <row r="873" spans="1:52" ht="64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</row>
    <row r="874" spans="1:52" ht="64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</row>
    <row r="875" spans="1:52" ht="64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</row>
    <row r="876" spans="1:52" ht="64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</row>
    <row r="877" spans="1:52" ht="64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</row>
    <row r="878" spans="1:52" ht="64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</row>
    <row r="879" spans="1:52" ht="64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</row>
    <row r="880" spans="1:52" ht="64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</row>
    <row r="881" spans="1:52" ht="64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</row>
    <row r="882" spans="1:52" ht="64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</row>
    <row r="883" spans="1:52" ht="64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</row>
    <row r="884" spans="1:52" ht="64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</row>
    <row r="885" spans="1:52" ht="64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</row>
    <row r="886" spans="1:52" ht="64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</row>
    <row r="887" spans="1:52" ht="64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</row>
    <row r="888" spans="1:52" ht="64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</row>
    <row r="889" spans="1:52" ht="64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</row>
    <row r="890" spans="1:52" ht="64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</row>
    <row r="891" spans="1:52" ht="64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</row>
    <row r="892" spans="1:52" ht="64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</row>
    <row r="893" spans="1:52" ht="64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</row>
    <row r="894" spans="1:52" ht="64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</row>
    <row r="895" spans="1:52" ht="64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</row>
    <row r="896" spans="1:52" ht="64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</row>
    <row r="897" spans="1:52" ht="64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</row>
    <row r="898" spans="1:52" ht="64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</row>
    <row r="899" spans="1:52" ht="64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</row>
    <row r="900" spans="1:52" ht="64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</row>
    <row r="901" spans="1:52" ht="64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</row>
    <row r="902" spans="1:52" ht="64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</row>
    <row r="903" spans="1:52" ht="64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</row>
    <row r="904" spans="1:52" ht="64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</row>
    <row r="905" spans="1:52" ht="64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</row>
    <row r="906" spans="1:52" ht="64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</row>
    <row r="907" spans="1:52" ht="64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</row>
    <row r="908" spans="1:52" ht="64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</row>
    <row r="909" spans="1:52" ht="64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</row>
    <row r="910" spans="1:52" ht="64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</row>
    <row r="911" spans="1:52" ht="64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</row>
    <row r="912" spans="1:52" ht="64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</row>
    <row r="913" spans="1:52" ht="64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</row>
    <row r="914" spans="1:52" ht="64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</row>
    <row r="915" spans="1:52" ht="64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</row>
    <row r="916" spans="1:52" ht="64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</row>
    <row r="917" spans="1:52" ht="64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</row>
    <row r="918" spans="1:52" ht="64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</row>
    <row r="919" spans="1:52" ht="64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</row>
    <row r="920" spans="1:52" ht="64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</row>
    <row r="921" spans="1:52" ht="64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</row>
    <row r="922" spans="1:52" ht="64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</row>
    <row r="923" spans="1:52" ht="64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</row>
    <row r="924" spans="1:52" ht="64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</row>
    <row r="925" spans="1:52" ht="64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</row>
    <row r="926" spans="1:52" ht="64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</row>
    <row r="927" spans="1:52" ht="64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</row>
    <row r="928" spans="1:52" ht="64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</row>
    <row r="929" spans="1:52" ht="64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</row>
    <row r="930" spans="1:52" ht="64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</row>
    <row r="931" spans="1:52" ht="64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</row>
    <row r="932" spans="1:52" ht="64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</row>
    <row r="933" spans="1:52" ht="64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</row>
    <row r="934" spans="1:52" ht="64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</row>
    <row r="935" spans="1:52" ht="64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</row>
    <row r="936" spans="1:52" ht="64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</row>
    <row r="937" spans="1:52" ht="64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</row>
    <row r="938" spans="1:52" ht="64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</row>
    <row r="939" spans="1:52" ht="64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</row>
    <row r="940" spans="1:52" ht="64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</row>
    <row r="941" spans="1:52" ht="64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</row>
    <row r="942" spans="1:52" ht="64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</row>
    <row r="943" spans="1:52" ht="64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</row>
    <row r="944" spans="1:52" ht="64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</row>
    <row r="945" spans="1:52" ht="64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</row>
    <row r="946" spans="1:52" ht="64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</row>
    <row r="947" spans="1:52" ht="64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</row>
    <row r="948" spans="1:52" ht="64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</row>
    <row r="949" spans="1:52" ht="64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</row>
    <row r="950" spans="1:52" ht="64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</row>
    <row r="951" spans="1:52" ht="64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</row>
    <row r="952" spans="1:52" ht="64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</row>
    <row r="953" spans="1:52" ht="64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</row>
    <row r="954" spans="1:52" ht="64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</row>
    <row r="955" spans="1:52" ht="64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</row>
    <row r="956" spans="1:52" ht="64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</row>
    <row r="957" spans="1:52" ht="64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</row>
    <row r="958" spans="1:52" ht="64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</row>
    <row r="959" spans="1:52" ht="64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</row>
    <row r="960" spans="1:52" ht="64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</row>
    <row r="961" spans="1:52" ht="64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</row>
    <row r="962" spans="1:52" ht="64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</row>
    <row r="963" spans="1:52" ht="64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</row>
    <row r="964" spans="1:52" ht="64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</row>
    <row r="965" spans="1:52" ht="64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</row>
    <row r="966" spans="1:52" ht="64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</row>
    <row r="967" spans="1:52" ht="64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</row>
    <row r="968" spans="1:52" ht="64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</row>
    <row r="969" spans="1:52" ht="64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</row>
    <row r="970" spans="1:52" ht="64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</row>
    <row r="971" spans="1:52" ht="64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</row>
    <row r="972" spans="1:52" ht="64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</row>
    <row r="973" spans="1:52" ht="64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</row>
    <row r="974" spans="1:52" ht="64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</row>
    <row r="975" spans="1:52" ht="64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</row>
    <row r="976" spans="1:52" ht="64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</row>
    <row r="977" spans="1:52" ht="64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</row>
    <row r="978" spans="1:52" ht="64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</row>
    <row r="979" spans="1:52" ht="64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</row>
    <row r="980" spans="1:52" ht="64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</row>
    <row r="981" spans="1:52" ht="64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</row>
    <row r="982" spans="1:52" ht="64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</row>
    <row r="983" spans="1:52" ht="64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</row>
    <row r="984" spans="1:52" ht="64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</row>
    <row r="985" spans="1:52" ht="64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</row>
    <row r="986" spans="1:52" ht="64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</row>
    <row r="987" spans="1:52" ht="64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</row>
    <row r="988" spans="1:52" ht="64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</row>
    <row r="989" spans="1:52" ht="64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</row>
    <row r="990" spans="1:52" ht="64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</row>
    <row r="991" spans="1:52" ht="64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</row>
    <row r="992" spans="1:52" ht="64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</row>
    <row r="993" spans="1:52" ht="64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</row>
    <row r="994" spans="1:52" ht="64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</row>
    <row r="995" spans="1:52" ht="64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</row>
    <row r="996" spans="1:52" ht="64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</row>
    <row r="997" spans="1:52" ht="64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</row>
    <row r="998" spans="1:52" ht="64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</row>
    <row r="999" spans="1:52" ht="64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</row>
    <row r="1000" spans="1:52" ht="64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1000"/>
  <sheetViews>
    <sheetView workbookViewId="0"/>
  </sheetViews>
  <sheetFormatPr baseColWidth="10" defaultColWidth="8.83203125" defaultRowHeight="15"/>
  <cols>
    <col min="1" max="1" width="28" customWidth="1"/>
    <col min="2" max="2" width="42" customWidth="1"/>
    <col min="3" max="3" width="36" customWidth="1"/>
    <col min="4" max="4" width="18" customWidth="1"/>
    <col min="5" max="6" width="44" customWidth="1"/>
  </cols>
  <sheetData>
    <row r="1" spans="1:52" ht="45.25" customHeight="1">
      <c r="A1" s="5" t="s">
        <v>40</v>
      </c>
      <c r="B1" s="5" t="s">
        <v>1865</v>
      </c>
      <c r="C1" s="5" t="s">
        <v>1866</v>
      </c>
      <c r="D1" s="5" t="s">
        <v>1867</v>
      </c>
      <c r="E1" s="5" t="s">
        <v>1868</v>
      </c>
      <c r="F1" s="5" t="s">
        <v>1869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2" ht="64" customHeight="1">
      <c r="A2" s="4" t="s">
        <v>1870</v>
      </c>
      <c r="B2" s="4" t="s">
        <v>1871</v>
      </c>
      <c r="C2" s="4" t="s">
        <v>1872</v>
      </c>
      <c r="D2" s="4" t="s">
        <v>144</v>
      </c>
      <c r="E2" s="4" t="s">
        <v>1873</v>
      </c>
      <c r="F2" s="4" t="s">
        <v>1874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:52" ht="64" customHeight="1">
      <c r="A3" s="4" t="s">
        <v>1875</v>
      </c>
      <c r="B3" s="4" t="s">
        <v>1876</v>
      </c>
      <c r="C3" s="4" t="s">
        <v>1877</v>
      </c>
      <c r="D3" s="4" t="s">
        <v>144</v>
      </c>
      <c r="E3" s="4" t="s">
        <v>1878</v>
      </c>
      <c r="F3" s="4" t="s">
        <v>1879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 spans="1:52" ht="64" customHeight="1">
      <c r="A4" s="4" t="s">
        <v>1880</v>
      </c>
      <c r="B4" s="4" t="s">
        <v>1881</v>
      </c>
      <c r="C4" s="4" t="s">
        <v>1882</v>
      </c>
      <c r="D4" s="4" t="s">
        <v>144</v>
      </c>
      <c r="E4" s="4" t="s">
        <v>1883</v>
      </c>
      <c r="F4" s="4" t="s">
        <v>1884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1:52" ht="64" customHeight="1">
      <c r="A5" s="4" t="s">
        <v>1885</v>
      </c>
      <c r="B5" s="4" t="s">
        <v>1886</v>
      </c>
      <c r="C5" s="4" t="s">
        <v>1887</v>
      </c>
      <c r="D5" s="4" t="s">
        <v>144</v>
      </c>
      <c r="E5" s="4" t="s">
        <v>1888</v>
      </c>
      <c r="F5" s="4" t="s">
        <v>1889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52" ht="64" customHeight="1">
      <c r="A6" s="4" t="s">
        <v>1890</v>
      </c>
      <c r="B6" s="4" t="s">
        <v>1891</v>
      </c>
      <c r="C6" s="4" t="s">
        <v>1892</v>
      </c>
      <c r="D6" s="4" t="s">
        <v>1893</v>
      </c>
      <c r="E6" s="4" t="s">
        <v>1894</v>
      </c>
      <c r="F6" s="4" t="s">
        <v>1895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spans="1:52" ht="64" customHeight="1">
      <c r="A7" s="4" t="s">
        <v>62</v>
      </c>
      <c r="B7" s="4" t="s">
        <v>1896</v>
      </c>
      <c r="C7" s="4" t="s">
        <v>1897</v>
      </c>
      <c r="D7" s="4" t="s">
        <v>1893</v>
      </c>
      <c r="E7" s="4" t="s">
        <v>1898</v>
      </c>
      <c r="F7" s="4" t="s">
        <v>1899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spans="1:52" ht="64" customHeight="1">
      <c r="A8" s="4" t="s">
        <v>61</v>
      </c>
      <c r="B8" s="4" t="s">
        <v>1900</v>
      </c>
      <c r="C8" s="4" t="s">
        <v>1860</v>
      </c>
      <c r="D8" s="4" t="s">
        <v>501</v>
      </c>
      <c r="E8" s="4" t="s">
        <v>1901</v>
      </c>
      <c r="F8" s="4" t="s">
        <v>1902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spans="1:52" ht="64" customHeight="1">
      <c r="A9" s="4" t="s">
        <v>1903</v>
      </c>
      <c r="B9" s="4" t="s">
        <v>1904</v>
      </c>
      <c r="C9" s="4" t="s">
        <v>1905</v>
      </c>
      <c r="D9" s="4" t="s">
        <v>1906</v>
      </c>
      <c r="E9" s="4" t="s">
        <v>1907</v>
      </c>
      <c r="F9" s="4" t="s">
        <v>1908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spans="1:52" ht="64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1:52" ht="64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52" ht="64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spans="1:52" ht="64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spans="1:52" ht="64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1:52" ht="64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pans="1:52" ht="64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1:52" ht="64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1:52" ht="64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1:52" ht="64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spans="1:52" ht="64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spans="1:52" ht="64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spans="1:52" ht="64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2" ht="64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ht="64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spans="1:52" ht="64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spans="1:52" ht="64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spans="1:52" ht="64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spans="1:52" ht="64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spans="1:52" ht="64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spans="1:52" ht="64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1:52" ht="64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spans="1:52" ht="64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1:52" ht="64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64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spans="1:52" ht="64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pans="1:52" ht="64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pans="1:52" ht="64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spans="1:52" ht="64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spans="1:52" ht="64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64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1:52" ht="64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spans="1:52" ht="64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spans="1:52" ht="64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 spans="1:52" ht="64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 spans="1:52" ht="64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 spans="1:52" ht="64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 spans="1:52" ht="64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 spans="1:52" ht="64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 spans="1:52" ht="64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 spans="1:52" ht="64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 spans="1:52" ht="64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 spans="1:52" ht="64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 spans="1:52" ht="64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 spans="1:52" ht="64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 spans="1:52" ht="64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 spans="1:52" ht="64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 spans="1:52" ht="64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 spans="1:52" ht="64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 spans="1:52" ht="64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 spans="1:52" ht="64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spans="1:52" ht="64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 spans="1:52" ht="64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 spans="1:52" ht="64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 spans="1:52" ht="64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 spans="1:52" ht="64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 spans="1:52" ht="64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 spans="1:52" ht="64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 spans="1:52" ht="64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 spans="1:52" ht="64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 spans="1:52" ht="64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 spans="1:52" ht="64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 spans="1:52" ht="64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 spans="1:52" ht="64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 spans="1:52" ht="64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 spans="1:52" ht="64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 spans="1:52" ht="64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 spans="1:52" ht="64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 spans="1:52" ht="64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 spans="1:52" ht="64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 spans="1:52" ht="64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  <row r="81" spans="1:52" ht="64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</row>
    <row r="82" spans="1:52" ht="64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</row>
    <row r="83" spans="1:52" ht="64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</row>
    <row r="84" spans="1:52" ht="64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</row>
    <row r="85" spans="1:52" ht="64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</row>
    <row r="86" spans="1:52" ht="64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</row>
    <row r="87" spans="1:52" ht="64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</row>
    <row r="88" spans="1:52" ht="64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</row>
    <row r="89" spans="1:52" ht="64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</row>
    <row r="90" spans="1:52" ht="64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</row>
    <row r="91" spans="1:52" ht="64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</row>
    <row r="92" spans="1:52" ht="64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</row>
    <row r="93" spans="1:52" ht="64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</row>
    <row r="94" spans="1:52" ht="64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</row>
    <row r="95" spans="1:52" ht="64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</row>
    <row r="96" spans="1:52" ht="64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</row>
    <row r="97" spans="1:52" ht="64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</row>
    <row r="98" spans="1:52" ht="64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</row>
    <row r="99" spans="1:52" ht="64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</row>
    <row r="100" spans="1:52" ht="64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</row>
    <row r="101" spans="1:52" ht="64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</row>
    <row r="102" spans="1:52" ht="64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</row>
    <row r="103" spans="1:52" ht="64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</row>
    <row r="104" spans="1:52" ht="64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</row>
    <row r="105" spans="1:52" ht="64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 spans="1:52" ht="64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</row>
    <row r="107" spans="1:52" ht="64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</row>
    <row r="108" spans="1:52" ht="64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</row>
    <row r="109" spans="1:52" ht="64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</row>
    <row r="110" spans="1:52" ht="64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</row>
    <row r="111" spans="1:52" ht="64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</row>
    <row r="112" spans="1:52" ht="64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</row>
    <row r="113" spans="1:52" ht="64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</row>
    <row r="114" spans="1:52" ht="64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</row>
    <row r="115" spans="1:52" ht="64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</row>
    <row r="116" spans="1:52" ht="64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</row>
    <row r="117" spans="1:52" ht="64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</row>
    <row r="118" spans="1:52" ht="64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</row>
    <row r="119" spans="1:52" ht="64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</row>
    <row r="120" spans="1:52" ht="64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</row>
    <row r="121" spans="1:52" ht="64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</row>
    <row r="122" spans="1:52" ht="64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</row>
    <row r="123" spans="1:52" ht="64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</row>
    <row r="124" spans="1:52" ht="64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</row>
    <row r="125" spans="1:52" ht="64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</row>
    <row r="126" spans="1:52" ht="64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</row>
    <row r="127" spans="1:52" ht="64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</row>
    <row r="128" spans="1:52" ht="64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</row>
    <row r="129" spans="1:52" ht="64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</row>
    <row r="130" spans="1:52" ht="64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</row>
    <row r="131" spans="1:52" ht="64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</row>
    <row r="132" spans="1:52" ht="64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</row>
    <row r="133" spans="1:52" ht="64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</row>
    <row r="134" spans="1:52" ht="64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</row>
    <row r="135" spans="1:52" ht="64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</row>
    <row r="136" spans="1:52" ht="64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</row>
    <row r="137" spans="1:52" ht="64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</row>
    <row r="138" spans="1:52" ht="64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</row>
    <row r="139" spans="1:52" ht="64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</row>
    <row r="140" spans="1:52" ht="64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</row>
    <row r="141" spans="1:52" ht="64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</row>
    <row r="142" spans="1:52" ht="64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</row>
    <row r="143" spans="1:52" ht="64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</row>
    <row r="144" spans="1:52" ht="64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</row>
    <row r="145" spans="1:52" ht="64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</row>
    <row r="146" spans="1:52" ht="64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</row>
    <row r="147" spans="1:52" ht="64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</row>
    <row r="148" spans="1:52" ht="64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</row>
    <row r="149" spans="1:52" ht="64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</row>
    <row r="150" spans="1:52" ht="64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</row>
    <row r="151" spans="1:52" ht="64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</row>
    <row r="152" spans="1:52" ht="64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</row>
    <row r="153" spans="1:52" ht="64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</row>
    <row r="154" spans="1:52" ht="64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</row>
    <row r="155" spans="1:52" ht="64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</row>
    <row r="156" spans="1:52" ht="64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</row>
    <row r="157" spans="1:52" ht="64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</row>
    <row r="158" spans="1:52" ht="64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</row>
    <row r="159" spans="1:52" ht="64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</row>
    <row r="160" spans="1:52" ht="64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</row>
    <row r="161" spans="1:52" ht="64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</row>
    <row r="162" spans="1:52" ht="64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</row>
    <row r="163" spans="1:52" ht="64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</row>
    <row r="164" spans="1:52" ht="64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</row>
    <row r="165" spans="1:52" ht="64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</row>
    <row r="166" spans="1:52" ht="64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</row>
    <row r="167" spans="1:52" ht="64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</row>
    <row r="168" spans="1:52" ht="64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</row>
    <row r="169" spans="1:52" ht="64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</row>
    <row r="170" spans="1:52" ht="64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</row>
    <row r="171" spans="1:52" ht="64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</row>
    <row r="172" spans="1:52" ht="64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</row>
    <row r="173" spans="1:52" ht="64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</row>
    <row r="174" spans="1:52" ht="64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</row>
    <row r="175" spans="1:52" ht="64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</row>
    <row r="176" spans="1:52" ht="64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</row>
    <row r="177" spans="1:52" ht="64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</row>
    <row r="178" spans="1:52" ht="64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</row>
    <row r="179" spans="1:52" ht="64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</row>
    <row r="180" spans="1:52" ht="64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</row>
    <row r="181" spans="1:52" ht="64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</row>
    <row r="182" spans="1:52" ht="64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</row>
    <row r="183" spans="1:52" ht="64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</row>
    <row r="184" spans="1:52" ht="64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</row>
    <row r="185" spans="1:52" ht="64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</row>
    <row r="186" spans="1:52" ht="64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</row>
    <row r="187" spans="1:52" ht="64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</row>
    <row r="188" spans="1:52" ht="64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</row>
    <row r="189" spans="1:52" ht="64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</row>
    <row r="190" spans="1:52" ht="64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</row>
    <row r="191" spans="1:52" ht="64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</row>
    <row r="192" spans="1:52" ht="64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</row>
    <row r="193" spans="1:52" ht="64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</row>
    <row r="194" spans="1:52" ht="64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</row>
    <row r="195" spans="1:52" ht="64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</row>
    <row r="196" spans="1:52" ht="64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</row>
    <row r="197" spans="1:52" ht="64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</row>
    <row r="198" spans="1:52" ht="64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</row>
    <row r="199" spans="1:52" ht="64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</row>
    <row r="200" spans="1:52" ht="64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</row>
    <row r="201" spans="1:52" ht="64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</row>
    <row r="202" spans="1:52" ht="64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</row>
    <row r="203" spans="1:52" ht="64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</row>
    <row r="204" spans="1:52" ht="64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</row>
    <row r="205" spans="1:52" ht="64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</row>
    <row r="206" spans="1:52" ht="64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</row>
    <row r="207" spans="1:52" ht="64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</row>
    <row r="208" spans="1:52" ht="64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</row>
    <row r="209" spans="1:52" ht="64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</row>
    <row r="210" spans="1:52" ht="64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</row>
    <row r="211" spans="1:52" ht="64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</row>
    <row r="212" spans="1:52" ht="64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</row>
    <row r="213" spans="1:52" ht="64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</row>
    <row r="214" spans="1:52" ht="64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</row>
    <row r="215" spans="1:52" ht="64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</row>
    <row r="216" spans="1:52" ht="64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</row>
    <row r="217" spans="1:52" ht="64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</row>
    <row r="218" spans="1:52" ht="64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</row>
    <row r="219" spans="1:52" ht="64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</row>
    <row r="220" spans="1:52" ht="64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</row>
    <row r="221" spans="1:52" ht="64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</row>
    <row r="222" spans="1:52" ht="64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</row>
    <row r="223" spans="1:52" ht="64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</row>
    <row r="224" spans="1:52" ht="64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</row>
    <row r="225" spans="1:52" ht="64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</row>
    <row r="226" spans="1:52" ht="64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</row>
    <row r="227" spans="1:52" ht="64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</row>
    <row r="228" spans="1:52" ht="64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</row>
    <row r="229" spans="1:52" ht="64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</row>
    <row r="230" spans="1:52" ht="64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</row>
    <row r="231" spans="1:52" ht="64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</row>
    <row r="232" spans="1:52" ht="64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</row>
    <row r="233" spans="1:52" ht="64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</row>
    <row r="234" spans="1:52" ht="64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</row>
    <row r="235" spans="1:52" ht="64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</row>
    <row r="236" spans="1:52" ht="64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</row>
    <row r="237" spans="1:52" ht="64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</row>
    <row r="238" spans="1:52" ht="64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</row>
    <row r="239" spans="1:52" ht="64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</row>
    <row r="240" spans="1:52" ht="64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</row>
    <row r="241" spans="1:52" ht="64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</row>
    <row r="242" spans="1:52" ht="64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</row>
    <row r="243" spans="1:52" ht="64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</row>
    <row r="244" spans="1:52" ht="64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</row>
    <row r="245" spans="1:52" ht="64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</row>
    <row r="246" spans="1:52" ht="64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</row>
    <row r="247" spans="1:52" ht="64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</row>
    <row r="248" spans="1:52" ht="64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</row>
    <row r="249" spans="1:52" ht="64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</row>
    <row r="250" spans="1:52" ht="64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</row>
    <row r="251" spans="1:52" ht="64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</row>
    <row r="252" spans="1:52" ht="64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</row>
    <row r="253" spans="1:52" ht="64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</row>
    <row r="254" spans="1:52" ht="64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</row>
    <row r="255" spans="1:52" ht="64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</row>
    <row r="256" spans="1:52" ht="64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</row>
    <row r="257" spans="1:52" ht="64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</row>
    <row r="258" spans="1:52" ht="64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</row>
    <row r="259" spans="1:52" ht="64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</row>
    <row r="260" spans="1:52" ht="64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</row>
    <row r="261" spans="1:52" ht="64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</row>
    <row r="262" spans="1:52" ht="64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</row>
    <row r="263" spans="1:52" ht="64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</row>
    <row r="264" spans="1:52" ht="64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</row>
    <row r="265" spans="1:52" ht="64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</row>
    <row r="266" spans="1:52" ht="64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</row>
    <row r="267" spans="1:52" ht="64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</row>
    <row r="268" spans="1:52" ht="64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</row>
    <row r="269" spans="1:52" ht="64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</row>
    <row r="270" spans="1:52" ht="64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</row>
    <row r="271" spans="1:52" ht="64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</row>
    <row r="272" spans="1:52" ht="64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</row>
    <row r="273" spans="1:52" ht="64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</row>
    <row r="274" spans="1:52" ht="64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</row>
    <row r="275" spans="1:52" ht="64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</row>
    <row r="276" spans="1:52" ht="64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</row>
    <row r="277" spans="1:52" ht="64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</row>
    <row r="278" spans="1:52" ht="64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</row>
    <row r="279" spans="1:52" ht="64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</row>
    <row r="280" spans="1:52" ht="64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</row>
    <row r="281" spans="1:52" ht="64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</row>
    <row r="282" spans="1:52" ht="64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</row>
    <row r="283" spans="1:52" ht="64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</row>
    <row r="284" spans="1:52" ht="64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</row>
    <row r="285" spans="1:52" ht="64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</row>
    <row r="286" spans="1:52" ht="64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</row>
    <row r="287" spans="1:52" ht="64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</row>
    <row r="288" spans="1:52" ht="64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</row>
    <row r="289" spans="1:52" ht="64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</row>
    <row r="290" spans="1:52" ht="64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</row>
    <row r="291" spans="1:52" ht="64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</row>
    <row r="292" spans="1:52" ht="64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</row>
    <row r="293" spans="1:52" ht="64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</row>
    <row r="294" spans="1:52" ht="64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</row>
    <row r="295" spans="1:52" ht="64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</row>
    <row r="296" spans="1:52" ht="64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</row>
    <row r="297" spans="1:52" ht="64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</row>
    <row r="298" spans="1:52" ht="64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</row>
    <row r="299" spans="1:52" ht="64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</row>
    <row r="300" spans="1:52" ht="64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</row>
    <row r="301" spans="1:52" ht="64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</row>
    <row r="302" spans="1:52" ht="64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</row>
    <row r="303" spans="1:52" ht="64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</row>
    <row r="304" spans="1:52" ht="64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</row>
    <row r="305" spans="1:52" ht="64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</row>
    <row r="306" spans="1:52" ht="64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</row>
    <row r="307" spans="1:52" ht="64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</row>
    <row r="308" spans="1:52" ht="64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</row>
    <row r="309" spans="1:52" ht="64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</row>
    <row r="310" spans="1:52" ht="64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</row>
    <row r="311" spans="1:52" ht="64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</row>
    <row r="312" spans="1:52" ht="64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</row>
    <row r="313" spans="1:52" ht="64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</row>
    <row r="314" spans="1:52" ht="64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</row>
    <row r="315" spans="1:52" ht="64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</row>
    <row r="316" spans="1:52" ht="64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</row>
    <row r="317" spans="1:52" ht="64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</row>
    <row r="318" spans="1:52" ht="64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</row>
    <row r="319" spans="1:52" ht="64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</row>
    <row r="320" spans="1:52" ht="64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</row>
    <row r="321" spans="1:52" ht="64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</row>
    <row r="322" spans="1:52" ht="64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</row>
    <row r="323" spans="1:52" ht="64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</row>
    <row r="324" spans="1:52" ht="64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</row>
    <row r="325" spans="1:52" ht="64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</row>
    <row r="326" spans="1:52" ht="64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</row>
    <row r="327" spans="1:52" ht="64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</row>
    <row r="328" spans="1:52" ht="64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</row>
    <row r="329" spans="1:52" ht="64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</row>
    <row r="330" spans="1:52" ht="64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</row>
    <row r="331" spans="1:52" ht="64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</row>
    <row r="332" spans="1:52" ht="64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</row>
    <row r="333" spans="1:52" ht="64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</row>
    <row r="334" spans="1:52" ht="64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</row>
    <row r="335" spans="1:52" ht="64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</row>
    <row r="336" spans="1:52" ht="64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</row>
    <row r="337" spans="1:52" ht="64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</row>
    <row r="338" spans="1:52" ht="64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</row>
    <row r="339" spans="1:52" ht="64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</row>
    <row r="340" spans="1:52" ht="64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</row>
    <row r="341" spans="1:52" ht="64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</row>
    <row r="342" spans="1:52" ht="64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</row>
    <row r="343" spans="1:52" ht="64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</row>
    <row r="344" spans="1:52" ht="64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</row>
    <row r="345" spans="1:52" ht="64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</row>
    <row r="346" spans="1:52" ht="64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</row>
    <row r="347" spans="1:52" ht="64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</row>
    <row r="348" spans="1:52" ht="64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</row>
    <row r="349" spans="1:52" ht="64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</row>
    <row r="350" spans="1:52" ht="64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</row>
    <row r="351" spans="1:52" ht="64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</row>
    <row r="352" spans="1:52" ht="64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</row>
    <row r="353" spans="1:52" ht="64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</row>
    <row r="354" spans="1:52" ht="64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</row>
    <row r="355" spans="1:52" ht="64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</row>
    <row r="356" spans="1:52" ht="64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</row>
    <row r="357" spans="1:52" ht="64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</row>
    <row r="358" spans="1:52" ht="64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</row>
    <row r="359" spans="1:52" ht="64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</row>
    <row r="360" spans="1:52" ht="64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</row>
    <row r="361" spans="1:52" ht="64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</row>
    <row r="362" spans="1:52" ht="64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</row>
    <row r="363" spans="1:52" ht="64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</row>
    <row r="364" spans="1:52" ht="64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</row>
    <row r="365" spans="1:52" ht="64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</row>
    <row r="366" spans="1:52" ht="64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</row>
    <row r="367" spans="1:52" ht="64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</row>
    <row r="368" spans="1:52" ht="64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</row>
    <row r="369" spans="1:52" ht="64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</row>
    <row r="370" spans="1:52" ht="64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</row>
    <row r="371" spans="1:52" ht="64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</row>
    <row r="372" spans="1:52" ht="64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</row>
    <row r="373" spans="1:52" ht="64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</row>
    <row r="374" spans="1:52" ht="64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</row>
    <row r="375" spans="1:52" ht="64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</row>
    <row r="376" spans="1:52" ht="64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</row>
    <row r="377" spans="1:52" ht="64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</row>
    <row r="378" spans="1:52" ht="64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</row>
    <row r="379" spans="1:52" ht="64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</row>
    <row r="380" spans="1:52" ht="64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</row>
    <row r="381" spans="1:52" ht="64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</row>
    <row r="382" spans="1:52" ht="64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</row>
    <row r="383" spans="1:52" ht="64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</row>
    <row r="384" spans="1:52" ht="64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</row>
    <row r="385" spans="1:52" ht="64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</row>
    <row r="386" spans="1:52" ht="64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</row>
    <row r="387" spans="1:52" ht="64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</row>
    <row r="388" spans="1:52" ht="64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</row>
    <row r="389" spans="1:52" ht="64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</row>
    <row r="390" spans="1:52" ht="64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</row>
    <row r="391" spans="1:52" ht="64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</row>
    <row r="392" spans="1:52" ht="64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</row>
    <row r="393" spans="1:52" ht="64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</row>
    <row r="394" spans="1:52" ht="64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</row>
    <row r="395" spans="1:52" ht="64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</row>
    <row r="396" spans="1:52" ht="64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</row>
    <row r="397" spans="1:52" ht="64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</row>
    <row r="398" spans="1:52" ht="64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</row>
    <row r="399" spans="1:52" ht="64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</row>
    <row r="400" spans="1:52" ht="64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</row>
    <row r="401" spans="1:52" ht="64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</row>
    <row r="402" spans="1:52" ht="64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</row>
    <row r="403" spans="1:52" ht="64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</row>
    <row r="404" spans="1:52" ht="64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</row>
    <row r="405" spans="1:52" ht="64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</row>
    <row r="406" spans="1:52" ht="64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</row>
    <row r="407" spans="1:52" ht="64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</row>
    <row r="408" spans="1:52" ht="64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</row>
    <row r="409" spans="1:52" ht="64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</row>
    <row r="410" spans="1:52" ht="64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</row>
    <row r="411" spans="1:52" ht="64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</row>
    <row r="412" spans="1:52" ht="64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</row>
    <row r="413" spans="1:52" ht="64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</row>
    <row r="414" spans="1:52" ht="64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</row>
    <row r="415" spans="1:52" ht="64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</row>
    <row r="416" spans="1:52" ht="64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</row>
    <row r="417" spans="1:52" ht="64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</row>
    <row r="418" spans="1:52" ht="64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</row>
    <row r="419" spans="1:52" ht="64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</row>
    <row r="420" spans="1:52" ht="64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</row>
    <row r="421" spans="1:52" ht="64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</row>
    <row r="422" spans="1:52" ht="64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</row>
    <row r="423" spans="1:52" ht="64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</row>
    <row r="424" spans="1:52" ht="64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</row>
    <row r="425" spans="1:52" ht="64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</row>
    <row r="426" spans="1:52" ht="64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</row>
    <row r="427" spans="1:52" ht="64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</row>
    <row r="428" spans="1:52" ht="64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</row>
    <row r="429" spans="1:52" ht="64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</row>
    <row r="430" spans="1:52" ht="64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</row>
    <row r="431" spans="1:52" ht="64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</row>
    <row r="432" spans="1:52" ht="64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</row>
    <row r="433" spans="1:52" ht="64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</row>
    <row r="434" spans="1:52" ht="64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</row>
    <row r="435" spans="1:52" ht="64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</row>
    <row r="436" spans="1:52" ht="64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</row>
    <row r="437" spans="1:52" ht="64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</row>
    <row r="438" spans="1:52" ht="64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</row>
    <row r="439" spans="1:52" ht="64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</row>
    <row r="440" spans="1:52" ht="64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</row>
    <row r="441" spans="1:52" ht="64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</row>
    <row r="442" spans="1:52" ht="64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</row>
    <row r="443" spans="1:52" ht="64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</row>
    <row r="444" spans="1:52" ht="64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</row>
    <row r="445" spans="1:52" ht="64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</row>
    <row r="446" spans="1:52" ht="64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</row>
    <row r="447" spans="1:52" ht="64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</row>
    <row r="448" spans="1:52" ht="64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</row>
    <row r="449" spans="1:52" ht="64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</row>
    <row r="450" spans="1:52" ht="64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</row>
    <row r="451" spans="1:52" ht="64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</row>
    <row r="452" spans="1:52" ht="64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</row>
    <row r="453" spans="1:52" ht="64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</row>
    <row r="454" spans="1:52" ht="64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</row>
    <row r="455" spans="1:52" ht="64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</row>
    <row r="456" spans="1:52" ht="64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</row>
    <row r="457" spans="1:52" ht="64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</row>
    <row r="458" spans="1:52" ht="64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</row>
    <row r="459" spans="1:52" ht="64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</row>
    <row r="460" spans="1:52" ht="64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</row>
    <row r="461" spans="1:52" ht="64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</row>
    <row r="462" spans="1:52" ht="64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</row>
    <row r="463" spans="1:52" ht="64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</row>
    <row r="464" spans="1:52" ht="64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</row>
    <row r="465" spans="1:52" ht="64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</row>
    <row r="466" spans="1:52" ht="64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</row>
    <row r="467" spans="1:52" ht="64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</row>
    <row r="468" spans="1:52" ht="64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</row>
    <row r="469" spans="1:52" ht="64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</row>
    <row r="470" spans="1:52" ht="64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</row>
    <row r="471" spans="1:52" ht="64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</row>
    <row r="472" spans="1:52" ht="64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</row>
    <row r="473" spans="1:52" ht="64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</row>
    <row r="474" spans="1:52" ht="64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</row>
    <row r="475" spans="1:52" ht="64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</row>
    <row r="476" spans="1:52" ht="64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</row>
    <row r="477" spans="1:52" ht="64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</row>
    <row r="478" spans="1:52" ht="64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</row>
    <row r="479" spans="1:52" ht="64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</row>
    <row r="480" spans="1:52" ht="64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</row>
    <row r="481" spans="1:52" ht="64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</row>
    <row r="482" spans="1:52" ht="64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</row>
    <row r="483" spans="1:52" ht="64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</row>
    <row r="484" spans="1:52" ht="64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</row>
    <row r="485" spans="1:52" ht="64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</row>
    <row r="486" spans="1:52" ht="64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</row>
    <row r="487" spans="1:52" ht="64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</row>
    <row r="488" spans="1:52" ht="64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</row>
    <row r="489" spans="1:52" ht="64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</row>
    <row r="490" spans="1:52" ht="64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</row>
    <row r="491" spans="1:52" ht="64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</row>
    <row r="492" spans="1:52" ht="64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</row>
    <row r="493" spans="1:52" ht="64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</row>
    <row r="494" spans="1:52" ht="64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</row>
    <row r="495" spans="1:52" ht="64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</row>
    <row r="496" spans="1:52" ht="64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</row>
    <row r="497" spans="1:52" ht="64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</row>
    <row r="498" spans="1:52" ht="64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</row>
    <row r="499" spans="1:52" ht="64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</row>
    <row r="500" spans="1:52" ht="64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</row>
    <row r="501" spans="1:52" ht="64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</row>
    <row r="502" spans="1:52" ht="64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</row>
    <row r="503" spans="1:52" ht="64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</row>
    <row r="504" spans="1:52" ht="64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</row>
    <row r="505" spans="1:52" ht="64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</row>
    <row r="506" spans="1:52" ht="64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</row>
    <row r="507" spans="1:52" ht="64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</row>
    <row r="508" spans="1:52" ht="64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</row>
    <row r="509" spans="1:52" ht="64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</row>
    <row r="510" spans="1:52" ht="64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</row>
    <row r="511" spans="1:52" ht="64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</row>
    <row r="512" spans="1:52" ht="64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</row>
    <row r="513" spans="1:52" ht="64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</row>
    <row r="514" spans="1:52" ht="64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</row>
    <row r="515" spans="1:52" ht="64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</row>
    <row r="516" spans="1:52" ht="64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</row>
    <row r="517" spans="1:52" ht="64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</row>
    <row r="518" spans="1:52" ht="64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</row>
    <row r="519" spans="1:52" ht="64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</row>
    <row r="520" spans="1:52" ht="64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</row>
    <row r="521" spans="1:52" ht="64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</row>
    <row r="522" spans="1:52" ht="64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</row>
    <row r="523" spans="1:52" ht="64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</row>
    <row r="524" spans="1:52" ht="64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</row>
    <row r="525" spans="1:52" ht="64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</row>
    <row r="526" spans="1:52" ht="64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</row>
    <row r="527" spans="1:52" ht="64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</row>
    <row r="528" spans="1:52" ht="64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</row>
    <row r="529" spans="1:52" ht="64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</row>
    <row r="530" spans="1:52" ht="64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</row>
    <row r="531" spans="1:52" ht="64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</row>
    <row r="532" spans="1:52" ht="64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</row>
    <row r="533" spans="1:52" ht="64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</row>
    <row r="534" spans="1:52" ht="64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</row>
    <row r="535" spans="1:52" ht="64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</row>
    <row r="536" spans="1:52" ht="64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</row>
    <row r="537" spans="1:52" ht="64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</row>
    <row r="538" spans="1:52" ht="64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</row>
    <row r="539" spans="1:52" ht="64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</row>
    <row r="540" spans="1:52" ht="64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</row>
    <row r="541" spans="1:52" ht="64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</row>
    <row r="542" spans="1:52" ht="64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</row>
    <row r="543" spans="1:52" ht="64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</row>
    <row r="544" spans="1:52" ht="64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</row>
    <row r="545" spans="1:52" ht="64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</row>
    <row r="546" spans="1:52" ht="64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</row>
    <row r="547" spans="1:52" ht="64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</row>
    <row r="548" spans="1:52" ht="64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</row>
    <row r="549" spans="1:52" ht="64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</row>
    <row r="550" spans="1:52" ht="64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</row>
    <row r="551" spans="1:52" ht="64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</row>
    <row r="552" spans="1:52" ht="64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</row>
    <row r="553" spans="1:52" ht="64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</row>
    <row r="554" spans="1:52" ht="64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</row>
    <row r="555" spans="1:52" ht="64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</row>
    <row r="556" spans="1:52" ht="64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</row>
    <row r="557" spans="1:52" ht="64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</row>
    <row r="558" spans="1:52" ht="64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</row>
    <row r="559" spans="1:52" ht="64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</row>
    <row r="560" spans="1:52" ht="64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</row>
    <row r="561" spans="1:52" ht="64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</row>
    <row r="562" spans="1:52" ht="64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</row>
    <row r="563" spans="1:52" ht="64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</row>
    <row r="564" spans="1:52" ht="64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</row>
    <row r="565" spans="1:52" ht="64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</row>
    <row r="566" spans="1:52" ht="64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</row>
    <row r="567" spans="1:52" ht="64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</row>
    <row r="568" spans="1:52" ht="64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</row>
    <row r="569" spans="1:52" ht="64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</row>
    <row r="570" spans="1:52" ht="64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</row>
    <row r="571" spans="1:52" ht="64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</row>
    <row r="572" spans="1:52" ht="64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</row>
    <row r="573" spans="1:52" ht="64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</row>
    <row r="574" spans="1:52" ht="64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</row>
    <row r="575" spans="1:52" ht="64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</row>
    <row r="576" spans="1:52" ht="64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</row>
    <row r="577" spans="1:52" ht="64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</row>
    <row r="578" spans="1:52" ht="64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</row>
    <row r="579" spans="1:52" ht="64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</row>
    <row r="580" spans="1:52" ht="64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</row>
    <row r="581" spans="1:52" ht="64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</row>
    <row r="582" spans="1:52" ht="64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</row>
    <row r="583" spans="1:52" ht="64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</row>
    <row r="584" spans="1:52" ht="64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</row>
    <row r="585" spans="1:52" ht="64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</row>
    <row r="586" spans="1:52" ht="64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</row>
    <row r="587" spans="1:52" ht="64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</row>
    <row r="588" spans="1:52" ht="64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</row>
    <row r="589" spans="1:52" ht="64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</row>
    <row r="590" spans="1:52" ht="64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</row>
    <row r="591" spans="1:52" ht="64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</row>
    <row r="592" spans="1:52" ht="64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</row>
    <row r="593" spans="1:52" ht="64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</row>
    <row r="594" spans="1:52" ht="64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</row>
    <row r="595" spans="1:52" ht="64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</row>
    <row r="596" spans="1:52" ht="64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</row>
    <row r="597" spans="1:52" ht="64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</row>
    <row r="598" spans="1:52" ht="64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</row>
    <row r="599" spans="1:52" ht="64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</row>
    <row r="600" spans="1:52" ht="64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</row>
    <row r="601" spans="1:52" ht="64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</row>
    <row r="602" spans="1:52" ht="64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</row>
    <row r="603" spans="1:52" ht="64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</row>
    <row r="604" spans="1:52" ht="64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</row>
    <row r="605" spans="1:52" ht="64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</row>
    <row r="606" spans="1:52" ht="64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</row>
    <row r="607" spans="1:52" ht="64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</row>
    <row r="608" spans="1:52" ht="64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</row>
    <row r="609" spans="1:52" ht="64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</row>
    <row r="610" spans="1:52" ht="64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</row>
    <row r="611" spans="1:52" ht="64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</row>
    <row r="612" spans="1:52" ht="64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</row>
    <row r="613" spans="1:52" ht="64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</row>
    <row r="614" spans="1:52" ht="64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</row>
    <row r="615" spans="1:52" ht="64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</row>
    <row r="616" spans="1:52" ht="64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</row>
    <row r="617" spans="1:52" ht="64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</row>
    <row r="618" spans="1:52" ht="64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</row>
    <row r="619" spans="1:52" ht="64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</row>
    <row r="620" spans="1:52" ht="64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</row>
    <row r="621" spans="1:52" ht="64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</row>
    <row r="622" spans="1:52" ht="64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</row>
    <row r="623" spans="1:52" ht="64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</row>
    <row r="624" spans="1:52" ht="64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</row>
    <row r="625" spans="1:52" ht="64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</row>
    <row r="626" spans="1:52" ht="64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</row>
    <row r="627" spans="1:52" ht="64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</row>
    <row r="628" spans="1:52" ht="64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</row>
    <row r="629" spans="1:52" ht="64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</row>
    <row r="630" spans="1:52" ht="64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</row>
    <row r="631" spans="1:52" ht="64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</row>
    <row r="632" spans="1:52" ht="64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</row>
    <row r="633" spans="1:52" ht="64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</row>
    <row r="634" spans="1:52" ht="64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</row>
    <row r="635" spans="1:52" ht="64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</row>
    <row r="636" spans="1:52" ht="64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</row>
    <row r="637" spans="1:52" ht="64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</row>
    <row r="638" spans="1:52" ht="64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</row>
    <row r="639" spans="1:52" ht="64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</row>
    <row r="640" spans="1:52" ht="64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</row>
    <row r="641" spans="1:52" ht="64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</row>
    <row r="642" spans="1:52" ht="64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</row>
    <row r="643" spans="1:52" ht="64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</row>
    <row r="644" spans="1:52" ht="64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</row>
    <row r="645" spans="1:52" ht="64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</row>
    <row r="646" spans="1:52" ht="64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</row>
    <row r="647" spans="1:52" ht="64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</row>
    <row r="648" spans="1:52" ht="64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</row>
    <row r="649" spans="1:52" ht="64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</row>
    <row r="650" spans="1:52" ht="64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</row>
    <row r="651" spans="1:52" ht="64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</row>
    <row r="652" spans="1:52" ht="64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</row>
    <row r="653" spans="1:52" ht="64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</row>
    <row r="654" spans="1:52" ht="64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</row>
    <row r="655" spans="1:52" ht="64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</row>
    <row r="656" spans="1:52" ht="64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</row>
    <row r="657" spans="1:52" ht="64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</row>
    <row r="658" spans="1:52" ht="64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</row>
    <row r="659" spans="1:52" ht="64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</row>
    <row r="660" spans="1:52" ht="64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</row>
    <row r="661" spans="1:52" ht="64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</row>
    <row r="662" spans="1:52" ht="64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</row>
    <row r="663" spans="1:52" ht="64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</row>
    <row r="664" spans="1:52" ht="64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</row>
    <row r="665" spans="1:52" ht="64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</row>
    <row r="666" spans="1:52" ht="64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</row>
    <row r="667" spans="1:52" ht="64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</row>
    <row r="668" spans="1:52" ht="64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</row>
    <row r="669" spans="1:52" ht="64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</row>
    <row r="670" spans="1:52" ht="64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</row>
    <row r="671" spans="1:52" ht="64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</row>
    <row r="672" spans="1:52" ht="64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</row>
    <row r="673" spans="1:52" ht="64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</row>
    <row r="674" spans="1:52" ht="64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</row>
    <row r="675" spans="1:52" ht="64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</row>
    <row r="676" spans="1:52" ht="64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</row>
    <row r="677" spans="1:52" ht="64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</row>
    <row r="678" spans="1:52" ht="64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</row>
    <row r="679" spans="1:52" ht="64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</row>
    <row r="680" spans="1:52" ht="64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</row>
    <row r="681" spans="1:52" ht="64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</row>
    <row r="682" spans="1:52" ht="64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</row>
    <row r="683" spans="1:52" ht="64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</row>
    <row r="684" spans="1:52" ht="64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</row>
    <row r="685" spans="1:52" ht="64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</row>
    <row r="686" spans="1:52" ht="64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</row>
    <row r="687" spans="1:52" ht="64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</row>
    <row r="688" spans="1:52" ht="64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</row>
    <row r="689" spans="1:52" ht="64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</row>
    <row r="690" spans="1:52" ht="64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</row>
    <row r="691" spans="1:52" ht="64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</row>
    <row r="692" spans="1:52" ht="64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</row>
    <row r="693" spans="1:52" ht="64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</row>
    <row r="694" spans="1:52" ht="64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</row>
    <row r="695" spans="1:52" ht="64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</row>
    <row r="696" spans="1:52" ht="64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</row>
    <row r="697" spans="1:52" ht="64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</row>
    <row r="698" spans="1:52" ht="64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</row>
    <row r="699" spans="1:52" ht="64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</row>
    <row r="700" spans="1:52" ht="64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</row>
    <row r="701" spans="1:52" ht="64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</row>
    <row r="702" spans="1:52" ht="64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</row>
    <row r="703" spans="1:52" ht="64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</row>
    <row r="704" spans="1:52" ht="64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</row>
    <row r="705" spans="1:52" ht="64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</row>
    <row r="706" spans="1:52" ht="64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</row>
    <row r="707" spans="1:52" ht="64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</row>
    <row r="708" spans="1:52" ht="64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</row>
    <row r="709" spans="1:52" ht="64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</row>
    <row r="710" spans="1:52" ht="64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</row>
    <row r="711" spans="1:52" ht="64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</row>
    <row r="712" spans="1:52" ht="64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</row>
    <row r="713" spans="1:52" ht="64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</row>
    <row r="714" spans="1:52" ht="64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</row>
    <row r="715" spans="1:52" ht="64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</row>
    <row r="716" spans="1:52" ht="64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</row>
    <row r="717" spans="1:52" ht="64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</row>
    <row r="718" spans="1:52" ht="64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</row>
    <row r="719" spans="1:52" ht="64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</row>
    <row r="720" spans="1:52" ht="64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</row>
    <row r="721" spans="1:52" ht="64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</row>
    <row r="722" spans="1:52" ht="64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</row>
    <row r="723" spans="1:52" ht="64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</row>
    <row r="724" spans="1:52" ht="64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</row>
    <row r="725" spans="1:52" ht="64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</row>
    <row r="726" spans="1:52" ht="64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</row>
    <row r="727" spans="1:52" ht="64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</row>
    <row r="728" spans="1:52" ht="64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</row>
    <row r="729" spans="1:52" ht="64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</row>
    <row r="730" spans="1:52" ht="64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</row>
    <row r="731" spans="1:52" ht="64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</row>
    <row r="732" spans="1:52" ht="64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</row>
    <row r="733" spans="1:52" ht="64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</row>
    <row r="734" spans="1:52" ht="64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</row>
    <row r="735" spans="1:52" ht="64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</row>
    <row r="736" spans="1:52" ht="64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</row>
    <row r="737" spans="1:52" ht="64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</row>
    <row r="738" spans="1:52" ht="64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</row>
    <row r="739" spans="1:52" ht="64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</row>
    <row r="740" spans="1:52" ht="64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</row>
    <row r="741" spans="1:52" ht="64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</row>
    <row r="742" spans="1:52" ht="64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</row>
    <row r="743" spans="1:52" ht="64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</row>
    <row r="744" spans="1:52" ht="64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</row>
    <row r="745" spans="1:52" ht="64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</row>
    <row r="746" spans="1:52" ht="64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</row>
    <row r="747" spans="1:52" ht="64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</row>
    <row r="748" spans="1:52" ht="64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</row>
    <row r="749" spans="1:52" ht="64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</row>
    <row r="750" spans="1:52" ht="64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</row>
    <row r="751" spans="1:52" ht="64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</row>
    <row r="752" spans="1:52" ht="64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</row>
    <row r="753" spans="1:52" ht="64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</row>
    <row r="754" spans="1:52" ht="64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</row>
    <row r="755" spans="1:52" ht="64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</row>
    <row r="756" spans="1:52" ht="64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</row>
    <row r="757" spans="1:52" ht="64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</row>
    <row r="758" spans="1:52" ht="64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</row>
    <row r="759" spans="1:52" ht="64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</row>
    <row r="760" spans="1:52" ht="64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</row>
    <row r="761" spans="1:52" ht="64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</row>
    <row r="762" spans="1:52" ht="64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</row>
    <row r="763" spans="1:52" ht="64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</row>
    <row r="764" spans="1:52" ht="64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</row>
    <row r="765" spans="1:52" ht="64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</row>
    <row r="766" spans="1:52" ht="64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</row>
    <row r="767" spans="1:52" ht="64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</row>
    <row r="768" spans="1:52" ht="64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</row>
    <row r="769" spans="1:52" ht="64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</row>
    <row r="770" spans="1:52" ht="64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</row>
    <row r="771" spans="1:52" ht="64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</row>
    <row r="772" spans="1:52" ht="64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</row>
    <row r="773" spans="1:52" ht="64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</row>
    <row r="774" spans="1:52" ht="64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</row>
    <row r="775" spans="1:52" ht="64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</row>
    <row r="776" spans="1:52" ht="64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</row>
    <row r="777" spans="1:52" ht="64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</row>
    <row r="778" spans="1:52" ht="64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</row>
    <row r="779" spans="1:52" ht="64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</row>
    <row r="780" spans="1:52" ht="64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</row>
    <row r="781" spans="1:52" ht="64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</row>
    <row r="782" spans="1:52" ht="64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</row>
    <row r="783" spans="1:52" ht="64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</row>
    <row r="784" spans="1:52" ht="64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</row>
    <row r="785" spans="1:52" ht="64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</row>
    <row r="786" spans="1:52" ht="64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</row>
    <row r="787" spans="1:52" ht="64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</row>
    <row r="788" spans="1:52" ht="64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</row>
    <row r="789" spans="1:52" ht="64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</row>
    <row r="790" spans="1:52" ht="64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</row>
    <row r="791" spans="1:52" ht="64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</row>
    <row r="792" spans="1:52" ht="64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</row>
    <row r="793" spans="1:52" ht="64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</row>
    <row r="794" spans="1:52" ht="64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</row>
    <row r="795" spans="1:52" ht="64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</row>
    <row r="796" spans="1:52" ht="64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</row>
    <row r="797" spans="1:52" ht="64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</row>
    <row r="798" spans="1:52" ht="64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</row>
    <row r="799" spans="1:52" ht="64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</row>
    <row r="800" spans="1:52" ht="64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</row>
    <row r="801" spans="1:52" ht="64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</row>
    <row r="802" spans="1:52" ht="64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</row>
    <row r="803" spans="1:52" ht="64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</row>
    <row r="804" spans="1:52" ht="64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</row>
    <row r="805" spans="1:52" ht="64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</row>
    <row r="806" spans="1:52" ht="64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</row>
    <row r="807" spans="1:52" ht="64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</row>
    <row r="808" spans="1:52" ht="64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</row>
    <row r="809" spans="1:52" ht="64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</row>
    <row r="810" spans="1:52" ht="64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</row>
    <row r="811" spans="1:52" ht="64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</row>
    <row r="812" spans="1:52" ht="64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</row>
    <row r="813" spans="1:52" ht="64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</row>
    <row r="814" spans="1:52" ht="64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</row>
    <row r="815" spans="1:52" ht="64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</row>
    <row r="816" spans="1:52" ht="64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</row>
    <row r="817" spans="1:52" ht="64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</row>
    <row r="818" spans="1:52" ht="64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</row>
    <row r="819" spans="1:52" ht="64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</row>
    <row r="820" spans="1:52" ht="64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</row>
    <row r="821" spans="1:52" ht="64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</row>
    <row r="822" spans="1:52" ht="64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</row>
    <row r="823" spans="1:52" ht="64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</row>
    <row r="824" spans="1:52" ht="64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</row>
    <row r="825" spans="1:52" ht="64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</row>
    <row r="826" spans="1:52" ht="64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</row>
    <row r="827" spans="1:52" ht="64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</row>
    <row r="828" spans="1:52" ht="64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</row>
    <row r="829" spans="1:52" ht="64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</row>
    <row r="830" spans="1:52" ht="64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</row>
    <row r="831" spans="1:52" ht="64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</row>
    <row r="832" spans="1:52" ht="64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</row>
    <row r="833" spans="1:52" ht="64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</row>
    <row r="834" spans="1:52" ht="64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</row>
    <row r="835" spans="1:52" ht="64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</row>
    <row r="836" spans="1:52" ht="64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</row>
    <row r="837" spans="1:52" ht="64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</row>
    <row r="838" spans="1:52" ht="64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</row>
    <row r="839" spans="1:52" ht="64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</row>
    <row r="840" spans="1:52" ht="64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</row>
    <row r="841" spans="1:52" ht="64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</row>
    <row r="842" spans="1:52" ht="64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</row>
    <row r="843" spans="1:52" ht="64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</row>
    <row r="844" spans="1:52" ht="64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</row>
    <row r="845" spans="1:52" ht="64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</row>
    <row r="846" spans="1:52" ht="64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</row>
    <row r="847" spans="1:52" ht="64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</row>
    <row r="848" spans="1:52" ht="64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</row>
    <row r="849" spans="1:52" ht="64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</row>
    <row r="850" spans="1:52" ht="64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</row>
    <row r="851" spans="1:52" ht="64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</row>
    <row r="852" spans="1:52" ht="64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</row>
    <row r="853" spans="1:52" ht="64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</row>
    <row r="854" spans="1:52" ht="64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</row>
    <row r="855" spans="1:52" ht="64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</row>
    <row r="856" spans="1:52" ht="64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</row>
    <row r="857" spans="1:52" ht="64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</row>
    <row r="858" spans="1:52" ht="64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</row>
    <row r="859" spans="1:52" ht="64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</row>
    <row r="860" spans="1:52" ht="64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</row>
    <row r="861" spans="1:52" ht="64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</row>
    <row r="862" spans="1:52" ht="64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</row>
    <row r="863" spans="1:52" ht="64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</row>
    <row r="864" spans="1:52" ht="64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</row>
    <row r="865" spans="1:52" ht="64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</row>
    <row r="866" spans="1:52" ht="64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</row>
    <row r="867" spans="1:52" ht="64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</row>
    <row r="868" spans="1:52" ht="64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</row>
    <row r="869" spans="1:52" ht="64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</row>
    <row r="870" spans="1:52" ht="64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</row>
    <row r="871" spans="1:52" ht="64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</row>
    <row r="872" spans="1:52" ht="64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</row>
    <row r="873" spans="1:52" ht="64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</row>
    <row r="874" spans="1:52" ht="64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</row>
    <row r="875" spans="1:52" ht="64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</row>
    <row r="876" spans="1:52" ht="64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</row>
    <row r="877" spans="1:52" ht="64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</row>
    <row r="878" spans="1:52" ht="64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</row>
    <row r="879" spans="1:52" ht="64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</row>
    <row r="880" spans="1:52" ht="64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</row>
    <row r="881" spans="1:52" ht="64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</row>
    <row r="882" spans="1:52" ht="64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</row>
    <row r="883" spans="1:52" ht="64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</row>
    <row r="884" spans="1:52" ht="64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</row>
    <row r="885" spans="1:52" ht="64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</row>
    <row r="886" spans="1:52" ht="64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</row>
    <row r="887" spans="1:52" ht="64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</row>
    <row r="888" spans="1:52" ht="64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</row>
    <row r="889" spans="1:52" ht="64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</row>
    <row r="890" spans="1:52" ht="64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</row>
    <row r="891" spans="1:52" ht="64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</row>
    <row r="892" spans="1:52" ht="64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</row>
    <row r="893" spans="1:52" ht="64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</row>
    <row r="894" spans="1:52" ht="64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</row>
    <row r="895" spans="1:52" ht="64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</row>
    <row r="896" spans="1:52" ht="64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</row>
    <row r="897" spans="1:52" ht="64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</row>
    <row r="898" spans="1:52" ht="64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</row>
    <row r="899" spans="1:52" ht="64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</row>
    <row r="900" spans="1:52" ht="64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</row>
    <row r="901" spans="1:52" ht="64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</row>
    <row r="902" spans="1:52" ht="64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</row>
    <row r="903" spans="1:52" ht="64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</row>
    <row r="904" spans="1:52" ht="64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</row>
    <row r="905" spans="1:52" ht="64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</row>
    <row r="906" spans="1:52" ht="64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</row>
    <row r="907" spans="1:52" ht="64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</row>
    <row r="908" spans="1:52" ht="64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</row>
    <row r="909" spans="1:52" ht="64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</row>
    <row r="910" spans="1:52" ht="64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</row>
    <row r="911" spans="1:52" ht="64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</row>
    <row r="912" spans="1:52" ht="64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</row>
    <row r="913" spans="1:52" ht="64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</row>
    <row r="914" spans="1:52" ht="64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</row>
    <row r="915" spans="1:52" ht="64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</row>
    <row r="916" spans="1:52" ht="64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</row>
    <row r="917" spans="1:52" ht="64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</row>
    <row r="918" spans="1:52" ht="64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</row>
    <row r="919" spans="1:52" ht="64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</row>
    <row r="920" spans="1:52" ht="64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</row>
    <row r="921" spans="1:52" ht="64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</row>
    <row r="922" spans="1:52" ht="64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</row>
    <row r="923" spans="1:52" ht="64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</row>
    <row r="924" spans="1:52" ht="64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</row>
    <row r="925" spans="1:52" ht="64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</row>
    <row r="926" spans="1:52" ht="64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</row>
    <row r="927" spans="1:52" ht="64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</row>
    <row r="928" spans="1:52" ht="64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</row>
    <row r="929" spans="1:52" ht="64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</row>
    <row r="930" spans="1:52" ht="64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</row>
    <row r="931" spans="1:52" ht="64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</row>
    <row r="932" spans="1:52" ht="64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</row>
    <row r="933" spans="1:52" ht="64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</row>
    <row r="934" spans="1:52" ht="64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</row>
    <row r="935" spans="1:52" ht="64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</row>
    <row r="936" spans="1:52" ht="64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</row>
    <row r="937" spans="1:52" ht="64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</row>
    <row r="938" spans="1:52" ht="64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</row>
    <row r="939" spans="1:52" ht="64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</row>
    <row r="940" spans="1:52" ht="64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</row>
    <row r="941" spans="1:52" ht="64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</row>
    <row r="942" spans="1:52" ht="64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</row>
    <row r="943" spans="1:52" ht="64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</row>
    <row r="944" spans="1:52" ht="64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</row>
    <row r="945" spans="1:52" ht="64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</row>
    <row r="946" spans="1:52" ht="64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</row>
    <row r="947" spans="1:52" ht="64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</row>
    <row r="948" spans="1:52" ht="64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</row>
    <row r="949" spans="1:52" ht="64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</row>
    <row r="950" spans="1:52" ht="64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</row>
    <row r="951" spans="1:52" ht="64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</row>
    <row r="952" spans="1:52" ht="64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</row>
    <row r="953" spans="1:52" ht="64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</row>
    <row r="954" spans="1:52" ht="64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</row>
    <row r="955" spans="1:52" ht="64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</row>
    <row r="956" spans="1:52" ht="64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</row>
    <row r="957" spans="1:52" ht="64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</row>
    <row r="958" spans="1:52" ht="64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</row>
    <row r="959" spans="1:52" ht="64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</row>
    <row r="960" spans="1:52" ht="64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</row>
    <row r="961" spans="1:52" ht="64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</row>
    <row r="962" spans="1:52" ht="64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</row>
    <row r="963" spans="1:52" ht="64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</row>
    <row r="964" spans="1:52" ht="64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</row>
    <row r="965" spans="1:52" ht="64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</row>
    <row r="966" spans="1:52" ht="64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</row>
    <row r="967" spans="1:52" ht="64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</row>
    <row r="968" spans="1:52" ht="64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</row>
    <row r="969" spans="1:52" ht="64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</row>
    <row r="970" spans="1:52" ht="64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</row>
    <row r="971" spans="1:52" ht="64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</row>
    <row r="972" spans="1:52" ht="64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</row>
    <row r="973" spans="1:52" ht="64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</row>
    <row r="974" spans="1:52" ht="64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</row>
    <row r="975" spans="1:52" ht="64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</row>
    <row r="976" spans="1:52" ht="64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</row>
    <row r="977" spans="1:52" ht="64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</row>
    <row r="978" spans="1:52" ht="64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</row>
    <row r="979" spans="1:52" ht="64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</row>
    <row r="980" spans="1:52" ht="64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</row>
    <row r="981" spans="1:52" ht="64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</row>
    <row r="982" spans="1:52" ht="64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</row>
    <row r="983" spans="1:52" ht="64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</row>
    <row r="984" spans="1:52" ht="64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</row>
    <row r="985" spans="1:52" ht="64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</row>
    <row r="986" spans="1:52" ht="64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</row>
    <row r="987" spans="1:52" ht="64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</row>
    <row r="988" spans="1:52" ht="64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</row>
    <row r="989" spans="1:52" ht="64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</row>
    <row r="990" spans="1:52" ht="64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</row>
    <row r="991" spans="1:52" ht="64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</row>
    <row r="992" spans="1:52" ht="64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</row>
    <row r="993" spans="1:52" ht="64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</row>
    <row r="994" spans="1:52" ht="64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</row>
    <row r="995" spans="1:52" ht="64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</row>
    <row r="996" spans="1:52" ht="64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</row>
    <row r="997" spans="1:52" ht="64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</row>
    <row r="998" spans="1:52" ht="64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</row>
    <row r="999" spans="1:52" ht="64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</row>
    <row r="1000" spans="1:52" ht="64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1000"/>
  <sheetViews>
    <sheetView workbookViewId="0"/>
  </sheetViews>
  <sheetFormatPr baseColWidth="10" defaultColWidth="8.83203125" defaultRowHeight="15"/>
  <cols>
    <col min="1" max="1" width="28" customWidth="1"/>
    <col min="2" max="2" width="52" customWidth="1"/>
    <col min="3" max="3" width="42" customWidth="1"/>
    <col min="4" max="4" width="22" customWidth="1"/>
  </cols>
  <sheetData>
    <row r="1" spans="1:52" ht="45.25" customHeight="1">
      <c r="A1" s="5" t="s">
        <v>45</v>
      </c>
      <c r="B1" s="5" t="s">
        <v>1909</v>
      </c>
      <c r="C1" s="5" t="s">
        <v>1910</v>
      </c>
      <c r="D1" s="5" t="s">
        <v>1911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2" ht="64" customHeight="1">
      <c r="A2" s="4" t="s">
        <v>21</v>
      </c>
      <c r="B2" s="4" t="s">
        <v>1912</v>
      </c>
      <c r="C2" s="4" t="s">
        <v>1913</v>
      </c>
      <c r="D2" s="4" t="s">
        <v>1914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:52" ht="64" customHeight="1">
      <c r="A3" s="4" t="s">
        <v>72</v>
      </c>
      <c r="B3" s="4" t="s">
        <v>1915</v>
      </c>
      <c r="C3" s="4" t="s">
        <v>1916</v>
      </c>
      <c r="D3" s="4" t="s">
        <v>1917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 spans="1:52" ht="64" customHeight="1">
      <c r="A4" s="4" t="s">
        <v>74</v>
      </c>
      <c r="B4" s="4" t="s">
        <v>1918</v>
      </c>
      <c r="C4" s="4" t="s">
        <v>1919</v>
      </c>
      <c r="D4" s="4" t="s">
        <v>1917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1:52" ht="64" customHeight="1">
      <c r="A5" s="4" t="s">
        <v>75</v>
      </c>
      <c r="B5" s="4" t="s">
        <v>1920</v>
      </c>
      <c r="C5" s="4" t="s">
        <v>1921</v>
      </c>
      <c r="D5" s="4" t="s">
        <v>1917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52" ht="64" customHeight="1">
      <c r="A6" s="4" t="s">
        <v>79</v>
      </c>
      <c r="B6" s="4" t="s">
        <v>1922</v>
      </c>
      <c r="C6" s="4" t="s">
        <v>1923</v>
      </c>
      <c r="D6" s="4" t="s">
        <v>1914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spans="1:52" ht="64" customHeight="1">
      <c r="A7" s="4" t="s">
        <v>83</v>
      </c>
      <c r="B7" s="4" t="s">
        <v>1924</v>
      </c>
      <c r="C7" s="4" t="s">
        <v>1925</v>
      </c>
      <c r="D7" s="4" t="s">
        <v>1926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spans="1:52" ht="64" customHeight="1">
      <c r="A8" s="4" t="s">
        <v>84</v>
      </c>
      <c r="B8" s="4" t="s">
        <v>1927</v>
      </c>
      <c r="C8" s="4" t="s">
        <v>1928</v>
      </c>
      <c r="D8" s="4" t="s">
        <v>1926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spans="1:52" ht="64" customHeight="1">
      <c r="A9" s="4" t="s">
        <v>85</v>
      </c>
      <c r="B9" s="4" t="s">
        <v>1929</v>
      </c>
      <c r="C9" s="4" t="s">
        <v>1930</v>
      </c>
      <c r="D9" s="4" t="s">
        <v>1926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spans="1:52" ht="64" customHeight="1">
      <c r="A10" s="4" t="s">
        <v>86</v>
      </c>
      <c r="B10" s="4" t="s">
        <v>1931</v>
      </c>
      <c r="C10" s="4" t="s">
        <v>1932</v>
      </c>
      <c r="D10" s="4" t="s">
        <v>1933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1:52" ht="64" customHeight="1">
      <c r="A11" s="4" t="s">
        <v>87</v>
      </c>
      <c r="B11" s="4" t="s">
        <v>1934</v>
      </c>
      <c r="C11" s="4" t="s">
        <v>1935</v>
      </c>
      <c r="D11" s="4" t="s">
        <v>1936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52" ht="64" customHeight="1">
      <c r="A12" s="4" t="s">
        <v>88</v>
      </c>
      <c r="B12" s="4" t="s">
        <v>1937</v>
      </c>
      <c r="C12" s="4" t="s">
        <v>1938</v>
      </c>
      <c r="D12" s="4" t="s">
        <v>1914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spans="1:52" ht="64" customHeight="1">
      <c r="A13" s="4" t="s">
        <v>91</v>
      </c>
      <c r="B13" s="4" t="s">
        <v>1939</v>
      </c>
      <c r="C13" s="4" t="s">
        <v>1940</v>
      </c>
      <c r="D13" s="4" t="s">
        <v>1914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spans="1:52" ht="64" customHeight="1">
      <c r="A14" s="4" t="s">
        <v>93</v>
      </c>
      <c r="B14" s="4" t="s">
        <v>1941</v>
      </c>
      <c r="C14" s="4" t="s">
        <v>1942</v>
      </c>
      <c r="D14" s="4" t="s">
        <v>1914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1:52" ht="64" customHeight="1">
      <c r="A15" s="4" t="s">
        <v>94</v>
      </c>
      <c r="B15" s="4" t="s">
        <v>1943</v>
      </c>
      <c r="C15" s="4" t="s">
        <v>1944</v>
      </c>
      <c r="D15" s="4" t="s">
        <v>1914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pans="1:52" ht="64" customHeight="1">
      <c r="A16" s="4" t="s">
        <v>95</v>
      </c>
      <c r="B16" s="4" t="s">
        <v>1945</v>
      </c>
      <c r="C16" s="4" t="s">
        <v>1946</v>
      </c>
      <c r="D16" s="4" t="s">
        <v>1914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1:52" ht="64" customHeight="1">
      <c r="A17" s="4" t="s">
        <v>96</v>
      </c>
      <c r="B17" s="4" t="s">
        <v>1947</v>
      </c>
      <c r="C17" s="4" t="s">
        <v>1948</v>
      </c>
      <c r="D17" s="4" t="s">
        <v>1917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1:52" ht="64" customHeight="1">
      <c r="A18" s="4" t="s">
        <v>97</v>
      </c>
      <c r="B18" s="4" t="s">
        <v>1949</v>
      </c>
      <c r="C18" s="4" t="s">
        <v>1950</v>
      </c>
      <c r="D18" s="4" t="s">
        <v>1914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1:52" ht="64" customHeight="1">
      <c r="A19" s="4" t="s">
        <v>99</v>
      </c>
      <c r="B19" s="4" t="s">
        <v>1951</v>
      </c>
      <c r="C19" s="4" t="s">
        <v>1952</v>
      </c>
      <c r="D19" s="4" t="s">
        <v>1953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spans="1:52" ht="64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spans="1:52" ht="64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spans="1:52" ht="64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2" ht="64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ht="64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spans="1:52" ht="64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spans="1:52" ht="64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spans="1:52" ht="64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spans="1:52" ht="64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spans="1:52" ht="64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spans="1:52" ht="64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1:52" ht="64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spans="1:52" ht="64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1:52" ht="64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64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spans="1:52" ht="64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pans="1:52" ht="64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pans="1:52" ht="64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spans="1:52" ht="64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spans="1:52" ht="64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64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1:52" ht="64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spans="1:52" ht="64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spans="1:52" ht="64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 spans="1:52" ht="64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 spans="1:52" ht="64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 spans="1:52" ht="64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 spans="1:52" ht="64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 spans="1:52" ht="64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 spans="1:52" ht="64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 spans="1:52" ht="64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 spans="1:52" ht="64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 spans="1:52" ht="64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 spans="1:52" ht="64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 spans="1:52" ht="64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 spans="1:52" ht="64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 spans="1:52" ht="64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 spans="1:52" ht="64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 spans="1:52" ht="64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 spans="1:52" ht="64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 spans="1:52" ht="64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spans="1:52" ht="64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 spans="1:52" ht="64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 spans="1:52" ht="64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 spans="1:52" ht="64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 spans="1:52" ht="64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 spans="1:52" ht="64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 spans="1:52" ht="64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 spans="1:52" ht="64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 spans="1:52" ht="64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 spans="1:52" ht="64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 spans="1:52" ht="64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 spans="1:52" ht="64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 spans="1:52" ht="64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 spans="1:52" ht="64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 spans="1:52" ht="64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 spans="1:52" ht="64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 spans="1:52" ht="64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 spans="1:52" ht="64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 spans="1:52" ht="64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 spans="1:52" ht="64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  <row r="81" spans="1:52" ht="64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</row>
    <row r="82" spans="1:52" ht="64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</row>
    <row r="83" spans="1:52" ht="64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</row>
    <row r="84" spans="1:52" ht="64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</row>
    <row r="85" spans="1:52" ht="64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</row>
    <row r="86" spans="1:52" ht="64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</row>
    <row r="87" spans="1:52" ht="64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</row>
    <row r="88" spans="1:52" ht="64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</row>
    <row r="89" spans="1:52" ht="64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</row>
    <row r="90" spans="1:52" ht="64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</row>
    <row r="91" spans="1:52" ht="64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</row>
    <row r="92" spans="1:52" ht="64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</row>
    <row r="93" spans="1:52" ht="64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</row>
    <row r="94" spans="1:52" ht="64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</row>
    <row r="95" spans="1:52" ht="64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</row>
    <row r="96" spans="1:52" ht="64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</row>
    <row r="97" spans="1:52" ht="64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</row>
    <row r="98" spans="1:52" ht="64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</row>
    <row r="99" spans="1:52" ht="64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</row>
    <row r="100" spans="1:52" ht="64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</row>
    <row r="101" spans="1:52" ht="64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</row>
    <row r="102" spans="1:52" ht="64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</row>
    <row r="103" spans="1:52" ht="64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</row>
    <row r="104" spans="1:52" ht="64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</row>
    <row r="105" spans="1:52" ht="64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 spans="1:52" ht="64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</row>
    <row r="107" spans="1:52" ht="64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</row>
    <row r="108" spans="1:52" ht="64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</row>
    <row r="109" spans="1:52" ht="64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</row>
    <row r="110" spans="1:52" ht="64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</row>
    <row r="111" spans="1:52" ht="64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</row>
    <row r="112" spans="1:52" ht="64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</row>
    <row r="113" spans="1:52" ht="64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</row>
    <row r="114" spans="1:52" ht="64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</row>
    <row r="115" spans="1:52" ht="64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</row>
    <row r="116" spans="1:52" ht="64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</row>
    <row r="117" spans="1:52" ht="64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</row>
    <row r="118" spans="1:52" ht="64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</row>
    <row r="119" spans="1:52" ht="64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</row>
    <row r="120" spans="1:52" ht="64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</row>
    <row r="121" spans="1:52" ht="64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</row>
    <row r="122" spans="1:52" ht="64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</row>
    <row r="123" spans="1:52" ht="64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</row>
    <row r="124" spans="1:52" ht="64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</row>
    <row r="125" spans="1:52" ht="64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</row>
    <row r="126" spans="1:52" ht="64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</row>
    <row r="127" spans="1:52" ht="64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</row>
    <row r="128" spans="1:52" ht="64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</row>
    <row r="129" spans="1:52" ht="64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</row>
    <row r="130" spans="1:52" ht="64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</row>
    <row r="131" spans="1:52" ht="64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</row>
    <row r="132" spans="1:52" ht="64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</row>
    <row r="133" spans="1:52" ht="64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</row>
    <row r="134" spans="1:52" ht="64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</row>
    <row r="135" spans="1:52" ht="64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</row>
    <row r="136" spans="1:52" ht="64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</row>
    <row r="137" spans="1:52" ht="64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</row>
    <row r="138" spans="1:52" ht="64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</row>
    <row r="139" spans="1:52" ht="64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</row>
    <row r="140" spans="1:52" ht="64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</row>
    <row r="141" spans="1:52" ht="64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</row>
    <row r="142" spans="1:52" ht="64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</row>
    <row r="143" spans="1:52" ht="64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</row>
    <row r="144" spans="1:52" ht="64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</row>
    <row r="145" spans="1:52" ht="64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</row>
    <row r="146" spans="1:52" ht="64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</row>
    <row r="147" spans="1:52" ht="64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</row>
    <row r="148" spans="1:52" ht="64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</row>
    <row r="149" spans="1:52" ht="64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</row>
    <row r="150" spans="1:52" ht="64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</row>
    <row r="151" spans="1:52" ht="64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</row>
    <row r="152" spans="1:52" ht="64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</row>
    <row r="153" spans="1:52" ht="64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</row>
    <row r="154" spans="1:52" ht="64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</row>
    <row r="155" spans="1:52" ht="64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</row>
    <row r="156" spans="1:52" ht="64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</row>
    <row r="157" spans="1:52" ht="64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</row>
    <row r="158" spans="1:52" ht="64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</row>
    <row r="159" spans="1:52" ht="64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</row>
    <row r="160" spans="1:52" ht="64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</row>
    <row r="161" spans="1:52" ht="64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</row>
    <row r="162" spans="1:52" ht="64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</row>
    <row r="163" spans="1:52" ht="64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</row>
    <row r="164" spans="1:52" ht="64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</row>
    <row r="165" spans="1:52" ht="64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</row>
    <row r="166" spans="1:52" ht="64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</row>
    <row r="167" spans="1:52" ht="64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</row>
    <row r="168" spans="1:52" ht="64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</row>
    <row r="169" spans="1:52" ht="64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</row>
    <row r="170" spans="1:52" ht="64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</row>
    <row r="171" spans="1:52" ht="64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</row>
    <row r="172" spans="1:52" ht="64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</row>
    <row r="173" spans="1:52" ht="64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</row>
    <row r="174" spans="1:52" ht="64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</row>
    <row r="175" spans="1:52" ht="64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</row>
    <row r="176" spans="1:52" ht="64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</row>
    <row r="177" spans="1:52" ht="64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</row>
    <row r="178" spans="1:52" ht="64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</row>
    <row r="179" spans="1:52" ht="64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</row>
    <row r="180" spans="1:52" ht="64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</row>
    <row r="181" spans="1:52" ht="64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</row>
    <row r="182" spans="1:52" ht="64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</row>
    <row r="183" spans="1:52" ht="64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</row>
    <row r="184" spans="1:52" ht="64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</row>
    <row r="185" spans="1:52" ht="64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</row>
    <row r="186" spans="1:52" ht="64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</row>
    <row r="187" spans="1:52" ht="64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</row>
    <row r="188" spans="1:52" ht="64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</row>
    <row r="189" spans="1:52" ht="64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</row>
    <row r="190" spans="1:52" ht="64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</row>
    <row r="191" spans="1:52" ht="64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</row>
    <row r="192" spans="1:52" ht="64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</row>
    <row r="193" spans="1:52" ht="64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</row>
    <row r="194" spans="1:52" ht="64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</row>
    <row r="195" spans="1:52" ht="64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</row>
    <row r="196" spans="1:52" ht="64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</row>
    <row r="197" spans="1:52" ht="64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</row>
    <row r="198" spans="1:52" ht="64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</row>
    <row r="199" spans="1:52" ht="64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</row>
    <row r="200" spans="1:52" ht="64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</row>
    <row r="201" spans="1:52" ht="64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</row>
    <row r="202" spans="1:52" ht="64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</row>
    <row r="203" spans="1:52" ht="64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</row>
    <row r="204" spans="1:52" ht="64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</row>
    <row r="205" spans="1:52" ht="64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</row>
    <row r="206" spans="1:52" ht="64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</row>
    <row r="207" spans="1:52" ht="64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</row>
    <row r="208" spans="1:52" ht="64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</row>
    <row r="209" spans="1:52" ht="64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</row>
    <row r="210" spans="1:52" ht="64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</row>
    <row r="211" spans="1:52" ht="64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</row>
    <row r="212" spans="1:52" ht="64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</row>
    <row r="213" spans="1:52" ht="64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</row>
    <row r="214" spans="1:52" ht="64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</row>
    <row r="215" spans="1:52" ht="64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</row>
    <row r="216" spans="1:52" ht="64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</row>
    <row r="217" spans="1:52" ht="64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</row>
    <row r="218" spans="1:52" ht="64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</row>
    <row r="219" spans="1:52" ht="64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</row>
    <row r="220" spans="1:52" ht="64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</row>
    <row r="221" spans="1:52" ht="64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</row>
    <row r="222" spans="1:52" ht="64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</row>
    <row r="223" spans="1:52" ht="64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</row>
    <row r="224" spans="1:52" ht="64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</row>
    <row r="225" spans="1:52" ht="64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</row>
    <row r="226" spans="1:52" ht="64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</row>
    <row r="227" spans="1:52" ht="64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</row>
    <row r="228" spans="1:52" ht="64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</row>
    <row r="229" spans="1:52" ht="64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</row>
    <row r="230" spans="1:52" ht="64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</row>
    <row r="231" spans="1:52" ht="64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</row>
    <row r="232" spans="1:52" ht="64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</row>
    <row r="233" spans="1:52" ht="64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</row>
    <row r="234" spans="1:52" ht="64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</row>
    <row r="235" spans="1:52" ht="64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</row>
    <row r="236" spans="1:52" ht="64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</row>
    <row r="237" spans="1:52" ht="64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</row>
    <row r="238" spans="1:52" ht="64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</row>
    <row r="239" spans="1:52" ht="64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</row>
    <row r="240" spans="1:52" ht="64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</row>
    <row r="241" spans="1:52" ht="64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</row>
    <row r="242" spans="1:52" ht="64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</row>
    <row r="243" spans="1:52" ht="64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</row>
    <row r="244" spans="1:52" ht="64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</row>
    <row r="245" spans="1:52" ht="64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</row>
    <row r="246" spans="1:52" ht="64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</row>
    <row r="247" spans="1:52" ht="64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</row>
    <row r="248" spans="1:52" ht="64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</row>
    <row r="249" spans="1:52" ht="64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</row>
    <row r="250" spans="1:52" ht="64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</row>
    <row r="251" spans="1:52" ht="64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</row>
    <row r="252" spans="1:52" ht="64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</row>
    <row r="253" spans="1:52" ht="64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</row>
    <row r="254" spans="1:52" ht="64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</row>
    <row r="255" spans="1:52" ht="64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</row>
    <row r="256" spans="1:52" ht="64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</row>
    <row r="257" spans="1:52" ht="64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</row>
    <row r="258" spans="1:52" ht="64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</row>
    <row r="259" spans="1:52" ht="64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</row>
    <row r="260" spans="1:52" ht="64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</row>
    <row r="261" spans="1:52" ht="64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</row>
    <row r="262" spans="1:52" ht="64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</row>
    <row r="263" spans="1:52" ht="64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</row>
    <row r="264" spans="1:52" ht="64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</row>
    <row r="265" spans="1:52" ht="64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</row>
    <row r="266" spans="1:52" ht="64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</row>
    <row r="267" spans="1:52" ht="64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</row>
    <row r="268" spans="1:52" ht="64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</row>
    <row r="269" spans="1:52" ht="64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</row>
    <row r="270" spans="1:52" ht="64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</row>
    <row r="271" spans="1:52" ht="64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</row>
    <row r="272" spans="1:52" ht="64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</row>
    <row r="273" spans="1:52" ht="64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</row>
    <row r="274" spans="1:52" ht="64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</row>
    <row r="275" spans="1:52" ht="64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</row>
    <row r="276" spans="1:52" ht="64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</row>
    <row r="277" spans="1:52" ht="64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</row>
    <row r="278" spans="1:52" ht="64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</row>
    <row r="279" spans="1:52" ht="64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</row>
    <row r="280" spans="1:52" ht="64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</row>
    <row r="281" spans="1:52" ht="64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</row>
    <row r="282" spans="1:52" ht="64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</row>
    <row r="283" spans="1:52" ht="64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</row>
    <row r="284" spans="1:52" ht="64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</row>
    <row r="285" spans="1:52" ht="64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</row>
    <row r="286" spans="1:52" ht="64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</row>
    <row r="287" spans="1:52" ht="64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</row>
    <row r="288" spans="1:52" ht="64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</row>
    <row r="289" spans="1:52" ht="64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</row>
    <row r="290" spans="1:52" ht="64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</row>
    <row r="291" spans="1:52" ht="64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</row>
    <row r="292" spans="1:52" ht="64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</row>
    <row r="293" spans="1:52" ht="64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</row>
    <row r="294" spans="1:52" ht="64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</row>
    <row r="295" spans="1:52" ht="64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</row>
    <row r="296" spans="1:52" ht="64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</row>
    <row r="297" spans="1:52" ht="64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</row>
    <row r="298" spans="1:52" ht="64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</row>
    <row r="299" spans="1:52" ht="64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</row>
    <row r="300" spans="1:52" ht="64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</row>
    <row r="301" spans="1:52" ht="64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</row>
    <row r="302" spans="1:52" ht="64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</row>
    <row r="303" spans="1:52" ht="64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</row>
    <row r="304" spans="1:52" ht="64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</row>
    <row r="305" spans="1:52" ht="64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</row>
    <row r="306" spans="1:52" ht="64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</row>
    <row r="307" spans="1:52" ht="64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</row>
    <row r="308" spans="1:52" ht="64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</row>
    <row r="309" spans="1:52" ht="64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</row>
    <row r="310" spans="1:52" ht="64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</row>
    <row r="311" spans="1:52" ht="64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</row>
    <row r="312" spans="1:52" ht="64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</row>
    <row r="313" spans="1:52" ht="64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</row>
    <row r="314" spans="1:52" ht="64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</row>
    <row r="315" spans="1:52" ht="64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</row>
    <row r="316" spans="1:52" ht="64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</row>
    <row r="317" spans="1:52" ht="64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</row>
    <row r="318" spans="1:52" ht="64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</row>
    <row r="319" spans="1:52" ht="64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</row>
    <row r="320" spans="1:52" ht="64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</row>
    <row r="321" spans="1:52" ht="64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</row>
    <row r="322" spans="1:52" ht="64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</row>
    <row r="323" spans="1:52" ht="64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</row>
    <row r="324" spans="1:52" ht="64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</row>
    <row r="325" spans="1:52" ht="64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</row>
    <row r="326" spans="1:52" ht="64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</row>
    <row r="327" spans="1:52" ht="64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</row>
    <row r="328" spans="1:52" ht="64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</row>
    <row r="329" spans="1:52" ht="64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</row>
    <row r="330" spans="1:52" ht="64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</row>
    <row r="331" spans="1:52" ht="64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</row>
    <row r="332" spans="1:52" ht="64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</row>
    <row r="333" spans="1:52" ht="64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</row>
    <row r="334" spans="1:52" ht="64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</row>
    <row r="335" spans="1:52" ht="64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</row>
    <row r="336" spans="1:52" ht="64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</row>
    <row r="337" spans="1:52" ht="64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</row>
    <row r="338" spans="1:52" ht="64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</row>
    <row r="339" spans="1:52" ht="64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</row>
    <row r="340" spans="1:52" ht="64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</row>
    <row r="341" spans="1:52" ht="64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</row>
    <row r="342" spans="1:52" ht="64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</row>
    <row r="343" spans="1:52" ht="64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</row>
    <row r="344" spans="1:52" ht="64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</row>
    <row r="345" spans="1:52" ht="64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</row>
    <row r="346" spans="1:52" ht="64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</row>
    <row r="347" spans="1:52" ht="64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</row>
    <row r="348" spans="1:52" ht="64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</row>
    <row r="349" spans="1:52" ht="64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</row>
    <row r="350" spans="1:52" ht="64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</row>
    <row r="351" spans="1:52" ht="64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</row>
    <row r="352" spans="1:52" ht="64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</row>
    <row r="353" spans="1:52" ht="64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</row>
    <row r="354" spans="1:52" ht="64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</row>
    <row r="355" spans="1:52" ht="64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</row>
    <row r="356" spans="1:52" ht="64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</row>
    <row r="357" spans="1:52" ht="64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</row>
    <row r="358" spans="1:52" ht="64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</row>
    <row r="359" spans="1:52" ht="64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</row>
    <row r="360" spans="1:52" ht="64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</row>
    <row r="361" spans="1:52" ht="64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</row>
    <row r="362" spans="1:52" ht="64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</row>
    <row r="363" spans="1:52" ht="64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</row>
    <row r="364" spans="1:52" ht="64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</row>
    <row r="365" spans="1:52" ht="64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</row>
    <row r="366" spans="1:52" ht="64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</row>
    <row r="367" spans="1:52" ht="64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</row>
    <row r="368" spans="1:52" ht="64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</row>
    <row r="369" spans="1:52" ht="64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</row>
    <row r="370" spans="1:52" ht="64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</row>
    <row r="371" spans="1:52" ht="64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</row>
    <row r="372" spans="1:52" ht="64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</row>
    <row r="373" spans="1:52" ht="64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</row>
    <row r="374" spans="1:52" ht="64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</row>
    <row r="375" spans="1:52" ht="64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</row>
    <row r="376" spans="1:52" ht="64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</row>
    <row r="377" spans="1:52" ht="64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</row>
    <row r="378" spans="1:52" ht="64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</row>
    <row r="379" spans="1:52" ht="64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</row>
    <row r="380" spans="1:52" ht="64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</row>
    <row r="381" spans="1:52" ht="64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</row>
    <row r="382" spans="1:52" ht="64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</row>
    <row r="383" spans="1:52" ht="64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</row>
    <row r="384" spans="1:52" ht="64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</row>
    <row r="385" spans="1:52" ht="64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</row>
    <row r="386" spans="1:52" ht="64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</row>
    <row r="387" spans="1:52" ht="64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</row>
    <row r="388" spans="1:52" ht="64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</row>
    <row r="389" spans="1:52" ht="64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</row>
    <row r="390" spans="1:52" ht="64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</row>
    <row r="391" spans="1:52" ht="64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</row>
    <row r="392" spans="1:52" ht="64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</row>
    <row r="393" spans="1:52" ht="64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</row>
    <row r="394" spans="1:52" ht="64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</row>
    <row r="395" spans="1:52" ht="64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</row>
    <row r="396" spans="1:52" ht="64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</row>
    <row r="397" spans="1:52" ht="64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</row>
    <row r="398" spans="1:52" ht="64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</row>
    <row r="399" spans="1:52" ht="64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</row>
    <row r="400" spans="1:52" ht="64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</row>
    <row r="401" spans="1:52" ht="64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</row>
    <row r="402" spans="1:52" ht="64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</row>
    <row r="403" spans="1:52" ht="64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</row>
    <row r="404" spans="1:52" ht="64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</row>
    <row r="405" spans="1:52" ht="64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</row>
    <row r="406" spans="1:52" ht="64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</row>
    <row r="407" spans="1:52" ht="64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</row>
    <row r="408" spans="1:52" ht="64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</row>
    <row r="409" spans="1:52" ht="64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</row>
    <row r="410" spans="1:52" ht="64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</row>
    <row r="411" spans="1:52" ht="64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</row>
    <row r="412" spans="1:52" ht="64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</row>
    <row r="413" spans="1:52" ht="64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</row>
    <row r="414" spans="1:52" ht="64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</row>
    <row r="415" spans="1:52" ht="64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</row>
    <row r="416" spans="1:52" ht="64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</row>
    <row r="417" spans="1:52" ht="64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</row>
    <row r="418" spans="1:52" ht="64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</row>
    <row r="419" spans="1:52" ht="64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</row>
    <row r="420" spans="1:52" ht="64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</row>
    <row r="421" spans="1:52" ht="64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</row>
    <row r="422" spans="1:52" ht="64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</row>
    <row r="423" spans="1:52" ht="64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</row>
    <row r="424" spans="1:52" ht="64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</row>
    <row r="425" spans="1:52" ht="64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</row>
    <row r="426" spans="1:52" ht="64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</row>
    <row r="427" spans="1:52" ht="64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</row>
    <row r="428" spans="1:52" ht="64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</row>
    <row r="429" spans="1:52" ht="64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</row>
    <row r="430" spans="1:52" ht="64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</row>
    <row r="431" spans="1:52" ht="64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</row>
    <row r="432" spans="1:52" ht="64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</row>
    <row r="433" spans="1:52" ht="64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</row>
    <row r="434" spans="1:52" ht="64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</row>
    <row r="435" spans="1:52" ht="64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</row>
    <row r="436" spans="1:52" ht="64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</row>
    <row r="437" spans="1:52" ht="64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</row>
    <row r="438" spans="1:52" ht="64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</row>
    <row r="439" spans="1:52" ht="64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</row>
    <row r="440" spans="1:52" ht="64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</row>
    <row r="441" spans="1:52" ht="64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</row>
    <row r="442" spans="1:52" ht="64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</row>
    <row r="443" spans="1:52" ht="64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</row>
    <row r="444" spans="1:52" ht="64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</row>
    <row r="445" spans="1:52" ht="64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</row>
    <row r="446" spans="1:52" ht="64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</row>
    <row r="447" spans="1:52" ht="64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</row>
    <row r="448" spans="1:52" ht="64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</row>
    <row r="449" spans="1:52" ht="64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</row>
    <row r="450" spans="1:52" ht="64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</row>
    <row r="451" spans="1:52" ht="64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</row>
    <row r="452" spans="1:52" ht="64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</row>
    <row r="453" spans="1:52" ht="64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</row>
    <row r="454" spans="1:52" ht="64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</row>
    <row r="455" spans="1:52" ht="64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</row>
    <row r="456" spans="1:52" ht="64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</row>
    <row r="457" spans="1:52" ht="64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</row>
    <row r="458" spans="1:52" ht="64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</row>
    <row r="459" spans="1:52" ht="64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</row>
    <row r="460" spans="1:52" ht="64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</row>
    <row r="461" spans="1:52" ht="64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</row>
    <row r="462" spans="1:52" ht="64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</row>
    <row r="463" spans="1:52" ht="64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</row>
    <row r="464" spans="1:52" ht="64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</row>
    <row r="465" spans="1:52" ht="64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</row>
    <row r="466" spans="1:52" ht="64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</row>
    <row r="467" spans="1:52" ht="64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</row>
    <row r="468" spans="1:52" ht="64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</row>
    <row r="469" spans="1:52" ht="64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</row>
    <row r="470" spans="1:52" ht="64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</row>
    <row r="471" spans="1:52" ht="64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</row>
    <row r="472" spans="1:52" ht="64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</row>
    <row r="473" spans="1:52" ht="64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</row>
    <row r="474" spans="1:52" ht="64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</row>
    <row r="475" spans="1:52" ht="64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</row>
    <row r="476" spans="1:52" ht="64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</row>
    <row r="477" spans="1:52" ht="64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</row>
    <row r="478" spans="1:52" ht="64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</row>
    <row r="479" spans="1:52" ht="64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</row>
    <row r="480" spans="1:52" ht="64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</row>
    <row r="481" spans="1:52" ht="64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</row>
    <row r="482" spans="1:52" ht="64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</row>
    <row r="483" spans="1:52" ht="64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</row>
    <row r="484" spans="1:52" ht="64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</row>
    <row r="485" spans="1:52" ht="64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</row>
    <row r="486" spans="1:52" ht="64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</row>
    <row r="487" spans="1:52" ht="64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</row>
    <row r="488" spans="1:52" ht="64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</row>
    <row r="489" spans="1:52" ht="64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</row>
    <row r="490" spans="1:52" ht="64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</row>
    <row r="491" spans="1:52" ht="64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</row>
    <row r="492" spans="1:52" ht="64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</row>
    <row r="493" spans="1:52" ht="64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</row>
    <row r="494" spans="1:52" ht="64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</row>
    <row r="495" spans="1:52" ht="64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</row>
    <row r="496" spans="1:52" ht="64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</row>
    <row r="497" spans="1:52" ht="64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</row>
    <row r="498" spans="1:52" ht="64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</row>
    <row r="499" spans="1:52" ht="64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</row>
    <row r="500" spans="1:52" ht="64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</row>
    <row r="501" spans="1:52" ht="64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</row>
    <row r="502" spans="1:52" ht="64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</row>
    <row r="503" spans="1:52" ht="64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</row>
    <row r="504" spans="1:52" ht="64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</row>
    <row r="505" spans="1:52" ht="64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</row>
    <row r="506" spans="1:52" ht="64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</row>
    <row r="507" spans="1:52" ht="64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</row>
    <row r="508" spans="1:52" ht="64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</row>
    <row r="509" spans="1:52" ht="64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</row>
    <row r="510" spans="1:52" ht="64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</row>
    <row r="511" spans="1:52" ht="64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</row>
    <row r="512" spans="1:52" ht="64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</row>
    <row r="513" spans="1:52" ht="64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</row>
    <row r="514" spans="1:52" ht="64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</row>
    <row r="515" spans="1:52" ht="64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</row>
    <row r="516" spans="1:52" ht="64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</row>
    <row r="517" spans="1:52" ht="64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</row>
    <row r="518" spans="1:52" ht="64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</row>
    <row r="519" spans="1:52" ht="64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</row>
    <row r="520" spans="1:52" ht="64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</row>
    <row r="521" spans="1:52" ht="64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</row>
    <row r="522" spans="1:52" ht="64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</row>
    <row r="523" spans="1:52" ht="64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</row>
    <row r="524" spans="1:52" ht="64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</row>
    <row r="525" spans="1:52" ht="64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</row>
    <row r="526" spans="1:52" ht="64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</row>
    <row r="527" spans="1:52" ht="64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</row>
    <row r="528" spans="1:52" ht="64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</row>
    <row r="529" spans="1:52" ht="64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</row>
    <row r="530" spans="1:52" ht="64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</row>
    <row r="531" spans="1:52" ht="64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</row>
    <row r="532" spans="1:52" ht="64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</row>
    <row r="533" spans="1:52" ht="64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</row>
    <row r="534" spans="1:52" ht="64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</row>
    <row r="535" spans="1:52" ht="64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</row>
    <row r="536" spans="1:52" ht="64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</row>
    <row r="537" spans="1:52" ht="64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</row>
    <row r="538" spans="1:52" ht="64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</row>
    <row r="539" spans="1:52" ht="64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</row>
    <row r="540" spans="1:52" ht="64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</row>
    <row r="541" spans="1:52" ht="64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</row>
    <row r="542" spans="1:52" ht="64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</row>
    <row r="543" spans="1:52" ht="64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</row>
    <row r="544" spans="1:52" ht="64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</row>
    <row r="545" spans="1:52" ht="64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</row>
    <row r="546" spans="1:52" ht="64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</row>
    <row r="547" spans="1:52" ht="64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</row>
    <row r="548" spans="1:52" ht="64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</row>
    <row r="549" spans="1:52" ht="64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</row>
    <row r="550" spans="1:52" ht="64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</row>
    <row r="551" spans="1:52" ht="64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</row>
    <row r="552" spans="1:52" ht="64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</row>
    <row r="553" spans="1:52" ht="64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</row>
    <row r="554" spans="1:52" ht="64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</row>
    <row r="555" spans="1:52" ht="64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</row>
    <row r="556" spans="1:52" ht="64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</row>
    <row r="557" spans="1:52" ht="64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</row>
    <row r="558" spans="1:52" ht="64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</row>
    <row r="559" spans="1:52" ht="64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</row>
    <row r="560" spans="1:52" ht="64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</row>
    <row r="561" spans="1:52" ht="64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</row>
    <row r="562" spans="1:52" ht="64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</row>
    <row r="563" spans="1:52" ht="64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</row>
    <row r="564" spans="1:52" ht="64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</row>
    <row r="565" spans="1:52" ht="64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</row>
    <row r="566" spans="1:52" ht="64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</row>
    <row r="567" spans="1:52" ht="64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</row>
    <row r="568" spans="1:52" ht="64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</row>
    <row r="569" spans="1:52" ht="64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</row>
    <row r="570" spans="1:52" ht="64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</row>
    <row r="571" spans="1:52" ht="64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</row>
    <row r="572" spans="1:52" ht="64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</row>
    <row r="573" spans="1:52" ht="64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</row>
    <row r="574" spans="1:52" ht="64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</row>
    <row r="575" spans="1:52" ht="64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</row>
    <row r="576" spans="1:52" ht="64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</row>
    <row r="577" spans="1:52" ht="64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</row>
    <row r="578" spans="1:52" ht="64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</row>
    <row r="579" spans="1:52" ht="64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</row>
    <row r="580" spans="1:52" ht="64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</row>
    <row r="581" spans="1:52" ht="64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</row>
    <row r="582" spans="1:52" ht="64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</row>
    <row r="583" spans="1:52" ht="64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</row>
    <row r="584" spans="1:52" ht="64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</row>
    <row r="585" spans="1:52" ht="64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</row>
    <row r="586" spans="1:52" ht="64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</row>
    <row r="587" spans="1:52" ht="64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</row>
    <row r="588" spans="1:52" ht="64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</row>
    <row r="589" spans="1:52" ht="64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</row>
    <row r="590" spans="1:52" ht="64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</row>
    <row r="591" spans="1:52" ht="64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</row>
    <row r="592" spans="1:52" ht="64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</row>
    <row r="593" spans="1:52" ht="64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</row>
    <row r="594" spans="1:52" ht="64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</row>
    <row r="595" spans="1:52" ht="64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</row>
    <row r="596" spans="1:52" ht="64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</row>
    <row r="597" spans="1:52" ht="64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</row>
    <row r="598" spans="1:52" ht="64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</row>
    <row r="599" spans="1:52" ht="64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</row>
    <row r="600" spans="1:52" ht="64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</row>
    <row r="601" spans="1:52" ht="64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</row>
    <row r="602" spans="1:52" ht="64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</row>
    <row r="603" spans="1:52" ht="64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</row>
    <row r="604" spans="1:52" ht="64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</row>
    <row r="605" spans="1:52" ht="64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</row>
    <row r="606" spans="1:52" ht="64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</row>
    <row r="607" spans="1:52" ht="64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</row>
    <row r="608" spans="1:52" ht="64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</row>
    <row r="609" spans="1:52" ht="64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</row>
    <row r="610" spans="1:52" ht="64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</row>
    <row r="611" spans="1:52" ht="64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</row>
    <row r="612" spans="1:52" ht="64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</row>
    <row r="613" spans="1:52" ht="64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</row>
    <row r="614" spans="1:52" ht="64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</row>
    <row r="615" spans="1:52" ht="64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</row>
    <row r="616" spans="1:52" ht="64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</row>
    <row r="617" spans="1:52" ht="64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</row>
    <row r="618" spans="1:52" ht="64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</row>
    <row r="619" spans="1:52" ht="64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</row>
    <row r="620" spans="1:52" ht="64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</row>
    <row r="621" spans="1:52" ht="64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</row>
    <row r="622" spans="1:52" ht="64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</row>
    <row r="623" spans="1:52" ht="64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</row>
    <row r="624" spans="1:52" ht="64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</row>
    <row r="625" spans="1:52" ht="64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</row>
    <row r="626" spans="1:52" ht="64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</row>
    <row r="627" spans="1:52" ht="64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</row>
    <row r="628" spans="1:52" ht="64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</row>
    <row r="629" spans="1:52" ht="64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</row>
    <row r="630" spans="1:52" ht="64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</row>
    <row r="631" spans="1:52" ht="64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</row>
    <row r="632" spans="1:52" ht="64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</row>
    <row r="633" spans="1:52" ht="64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</row>
    <row r="634" spans="1:52" ht="64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</row>
    <row r="635" spans="1:52" ht="64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</row>
    <row r="636" spans="1:52" ht="64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</row>
    <row r="637" spans="1:52" ht="64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</row>
    <row r="638" spans="1:52" ht="64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</row>
    <row r="639" spans="1:52" ht="64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</row>
    <row r="640" spans="1:52" ht="64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</row>
    <row r="641" spans="1:52" ht="64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</row>
    <row r="642" spans="1:52" ht="64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</row>
    <row r="643" spans="1:52" ht="64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</row>
    <row r="644" spans="1:52" ht="64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</row>
    <row r="645" spans="1:52" ht="64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</row>
    <row r="646" spans="1:52" ht="64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</row>
    <row r="647" spans="1:52" ht="64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</row>
    <row r="648" spans="1:52" ht="64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</row>
    <row r="649" spans="1:52" ht="64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</row>
    <row r="650" spans="1:52" ht="64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</row>
    <row r="651" spans="1:52" ht="64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</row>
    <row r="652" spans="1:52" ht="64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</row>
    <row r="653" spans="1:52" ht="64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</row>
    <row r="654" spans="1:52" ht="64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</row>
    <row r="655" spans="1:52" ht="64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</row>
    <row r="656" spans="1:52" ht="64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</row>
    <row r="657" spans="1:52" ht="64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</row>
    <row r="658" spans="1:52" ht="64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</row>
    <row r="659" spans="1:52" ht="64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</row>
    <row r="660" spans="1:52" ht="64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</row>
    <row r="661" spans="1:52" ht="64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</row>
    <row r="662" spans="1:52" ht="64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</row>
    <row r="663" spans="1:52" ht="64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</row>
    <row r="664" spans="1:52" ht="64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</row>
    <row r="665" spans="1:52" ht="64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</row>
    <row r="666" spans="1:52" ht="64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</row>
    <row r="667" spans="1:52" ht="64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</row>
    <row r="668" spans="1:52" ht="64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</row>
    <row r="669" spans="1:52" ht="64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</row>
    <row r="670" spans="1:52" ht="64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</row>
    <row r="671" spans="1:52" ht="64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</row>
    <row r="672" spans="1:52" ht="64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</row>
    <row r="673" spans="1:52" ht="64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</row>
    <row r="674" spans="1:52" ht="64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</row>
    <row r="675" spans="1:52" ht="64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</row>
    <row r="676" spans="1:52" ht="64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</row>
    <row r="677" spans="1:52" ht="64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</row>
    <row r="678" spans="1:52" ht="64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</row>
    <row r="679" spans="1:52" ht="64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</row>
    <row r="680" spans="1:52" ht="64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</row>
    <row r="681" spans="1:52" ht="64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</row>
    <row r="682" spans="1:52" ht="64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</row>
    <row r="683" spans="1:52" ht="64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</row>
    <row r="684" spans="1:52" ht="64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</row>
    <row r="685" spans="1:52" ht="64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</row>
    <row r="686" spans="1:52" ht="64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</row>
    <row r="687" spans="1:52" ht="64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</row>
    <row r="688" spans="1:52" ht="64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</row>
    <row r="689" spans="1:52" ht="64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</row>
    <row r="690" spans="1:52" ht="64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</row>
    <row r="691" spans="1:52" ht="64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</row>
    <row r="692" spans="1:52" ht="64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</row>
    <row r="693" spans="1:52" ht="64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</row>
    <row r="694" spans="1:52" ht="64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</row>
    <row r="695" spans="1:52" ht="64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</row>
    <row r="696" spans="1:52" ht="64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</row>
    <row r="697" spans="1:52" ht="64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</row>
    <row r="698" spans="1:52" ht="64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</row>
    <row r="699" spans="1:52" ht="64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</row>
    <row r="700" spans="1:52" ht="64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</row>
    <row r="701" spans="1:52" ht="64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</row>
    <row r="702" spans="1:52" ht="64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</row>
    <row r="703" spans="1:52" ht="64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</row>
    <row r="704" spans="1:52" ht="64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</row>
    <row r="705" spans="1:52" ht="64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</row>
    <row r="706" spans="1:52" ht="64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</row>
    <row r="707" spans="1:52" ht="64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</row>
    <row r="708" spans="1:52" ht="64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</row>
    <row r="709" spans="1:52" ht="64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</row>
    <row r="710" spans="1:52" ht="64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</row>
    <row r="711" spans="1:52" ht="64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</row>
    <row r="712" spans="1:52" ht="64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</row>
    <row r="713" spans="1:52" ht="64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</row>
    <row r="714" spans="1:52" ht="64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</row>
    <row r="715" spans="1:52" ht="64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</row>
    <row r="716" spans="1:52" ht="64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</row>
    <row r="717" spans="1:52" ht="64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</row>
    <row r="718" spans="1:52" ht="64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</row>
    <row r="719" spans="1:52" ht="64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</row>
    <row r="720" spans="1:52" ht="64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</row>
    <row r="721" spans="1:52" ht="64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</row>
    <row r="722" spans="1:52" ht="64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</row>
    <row r="723" spans="1:52" ht="64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</row>
    <row r="724" spans="1:52" ht="64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</row>
    <row r="725" spans="1:52" ht="64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</row>
    <row r="726" spans="1:52" ht="64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</row>
    <row r="727" spans="1:52" ht="64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</row>
    <row r="728" spans="1:52" ht="64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</row>
    <row r="729" spans="1:52" ht="64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</row>
    <row r="730" spans="1:52" ht="64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</row>
    <row r="731" spans="1:52" ht="64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</row>
    <row r="732" spans="1:52" ht="64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</row>
    <row r="733" spans="1:52" ht="64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</row>
    <row r="734" spans="1:52" ht="64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</row>
    <row r="735" spans="1:52" ht="64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</row>
    <row r="736" spans="1:52" ht="64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</row>
    <row r="737" spans="1:52" ht="64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</row>
    <row r="738" spans="1:52" ht="64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</row>
    <row r="739" spans="1:52" ht="64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</row>
    <row r="740" spans="1:52" ht="64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</row>
    <row r="741" spans="1:52" ht="64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</row>
    <row r="742" spans="1:52" ht="64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</row>
    <row r="743" spans="1:52" ht="64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</row>
    <row r="744" spans="1:52" ht="64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</row>
    <row r="745" spans="1:52" ht="64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</row>
    <row r="746" spans="1:52" ht="64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</row>
    <row r="747" spans="1:52" ht="64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</row>
    <row r="748" spans="1:52" ht="64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</row>
    <row r="749" spans="1:52" ht="64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</row>
    <row r="750" spans="1:52" ht="64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</row>
    <row r="751" spans="1:52" ht="64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</row>
    <row r="752" spans="1:52" ht="64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</row>
    <row r="753" spans="1:52" ht="64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</row>
    <row r="754" spans="1:52" ht="64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</row>
    <row r="755" spans="1:52" ht="64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</row>
    <row r="756" spans="1:52" ht="64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</row>
    <row r="757" spans="1:52" ht="64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</row>
    <row r="758" spans="1:52" ht="64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</row>
    <row r="759" spans="1:52" ht="64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</row>
    <row r="760" spans="1:52" ht="64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</row>
    <row r="761" spans="1:52" ht="64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</row>
    <row r="762" spans="1:52" ht="64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</row>
    <row r="763" spans="1:52" ht="64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</row>
    <row r="764" spans="1:52" ht="64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</row>
    <row r="765" spans="1:52" ht="64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</row>
    <row r="766" spans="1:52" ht="64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</row>
    <row r="767" spans="1:52" ht="64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</row>
    <row r="768" spans="1:52" ht="64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</row>
    <row r="769" spans="1:52" ht="64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</row>
    <row r="770" spans="1:52" ht="64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</row>
    <row r="771" spans="1:52" ht="64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</row>
    <row r="772" spans="1:52" ht="64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</row>
    <row r="773" spans="1:52" ht="64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</row>
    <row r="774" spans="1:52" ht="64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</row>
    <row r="775" spans="1:52" ht="64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</row>
    <row r="776" spans="1:52" ht="64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</row>
    <row r="777" spans="1:52" ht="64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</row>
    <row r="778" spans="1:52" ht="64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</row>
    <row r="779" spans="1:52" ht="64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</row>
    <row r="780" spans="1:52" ht="64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</row>
    <row r="781" spans="1:52" ht="64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</row>
    <row r="782" spans="1:52" ht="64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</row>
    <row r="783" spans="1:52" ht="64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</row>
    <row r="784" spans="1:52" ht="64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</row>
    <row r="785" spans="1:52" ht="64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</row>
    <row r="786" spans="1:52" ht="64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</row>
    <row r="787" spans="1:52" ht="64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</row>
    <row r="788" spans="1:52" ht="64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</row>
    <row r="789" spans="1:52" ht="64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</row>
    <row r="790" spans="1:52" ht="64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</row>
    <row r="791" spans="1:52" ht="64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</row>
    <row r="792" spans="1:52" ht="64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</row>
    <row r="793" spans="1:52" ht="64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</row>
    <row r="794" spans="1:52" ht="64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</row>
    <row r="795" spans="1:52" ht="64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</row>
    <row r="796" spans="1:52" ht="64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</row>
    <row r="797" spans="1:52" ht="64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</row>
    <row r="798" spans="1:52" ht="64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</row>
    <row r="799" spans="1:52" ht="64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</row>
    <row r="800" spans="1:52" ht="64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</row>
    <row r="801" spans="1:52" ht="64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</row>
    <row r="802" spans="1:52" ht="64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</row>
    <row r="803" spans="1:52" ht="64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</row>
    <row r="804" spans="1:52" ht="64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</row>
    <row r="805" spans="1:52" ht="64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</row>
    <row r="806" spans="1:52" ht="64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</row>
    <row r="807" spans="1:52" ht="64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</row>
    <row r="808" spans="1:52" ht="64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</row>
    <row r="809" spans="1:52" ht="64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</row>
    <row r="810" spans="1:52" ht="64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</row>
    <row r="811" spans="1:52" ht="64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</row>
    <row r="812" spans="1:52" ht="64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</row>
    <row r="813" spans="1:52" ht="64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</row>
    <row r="814" spans="1:52" ht="64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</row>
    <row r="815" spans="1:52" ht="64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</row>
    <row r="816" spans="1:52" ht="64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</row>
    <row r="817" spans="1:52" ht="64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</row>
    <row r="818" spans="1:52" ht="64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</row>
    <row r="819" spans="1:52" ht="64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</row>
    <row r="820" spans="1:52" ht="64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</row>
    <row r="821" spans="1:52" ht="64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</row>
    <row r="822" spans="1:52" ht="64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</row>
    <row r="823" spans="1:52" ht="64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</row>
    <row r="824" spans="1:52" ht="64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</row>
    <row r="825" spans="1:52" ht="64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</row>
    <row r="826" spans="1:52" ht="64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</row>
    <row r="827" spans="1:52" ht="64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</row>
    <row r="828" spans="1:52" ht="64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</row>
    <row r="829" spans="1:52" ht="64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</row>
    <row r="830" spans="1:52" ht="64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</row>
    <row r="831" spans="1:52" ht="64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</row>
    <row r="832" spans="1:52" ht="64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</row>
    <row r="833" spans="1:52" ht="64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</row>
    <row r="834" spans="1:52" ht="64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</row>
    <row r="835" spans="1:52" ht="64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</row>
    <row r="836" spans="1:52" ht="64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</row>
    <row r="837" spans="1:52" ht="64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</row>
    <row r="838" spans="1:52" ht="64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</row>
    <row r="839" spans="1:52" ht="64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</row>
    <row r="840" spans="1:52" ht="64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</row>
    <row r="841" spans="1:52" ht="64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</row>
    <row r="842" spans="1:52" ht="64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</row>
    <row r="843" spans="1:52" ht="64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</row>
    <row r="844" spans="1:52" ht="64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</row>
    <row r="845" spans="1:52" ht="64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</row>
    <row r="846" spans="1:52" ht="64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</row>
    <row r="847" spans="1:52" ht="64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</row>
    <row r="848" spans="1:52" ht="64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</row>
    <row r="849" spans="1:52" ht="64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</row>
    <row r="850" spans="1:52" ht="64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</row>
    <row r="851" spans="1:52" ht="64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</row>
    <row r="852" spans="1:52" ht="64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</row>
    <row r="853" spans="1:52" ht="64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</row>
    <row r="854" spans="1:52" ht="64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</row>
    <row r="855" spans="1:52" ht="64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</row>
    <row r="856" spans="1:52" ht="64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</row>
    <row r="857" spans="1:52" ht="64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</row>
    <row r="858" spans="1:52" ht="64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</row>
    <row r="859" spans="1:52" ht="64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</row>
    <row r="860" spans="1:52" ht="64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</row>
    <row r="861" spans="1:52" ht="64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</row>
    <row r="862" spans="1:52" ht="64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</row>
    <row r="863" spans="1:52" ht="64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</row>
    <row r="864" spans="1:52" ht="64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</row>
    <row r="865" spans="1:52" ht="64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</row>
    <row r="866" spans="1:52" ht="64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</row>
    <row r="867" spans="1:52" ht="64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</row>
    <row r="868" spans="1:52" ht="64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</row>
    <row r="869" spans="1:52" ht="64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</row>
    <row r="870" spans="1:52" ht="64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</row>
    <row r="871" spans="1:52" ht="64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</row>
    <row r="872" spans="1:52" ht="64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</row>
    <row r="873" spans="1:52" ht="64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</row>
    <row r="874" spans="1:52" ht="64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</row>
    <row r="875" spans="1:52" ht="64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</row>
    <row r="876" spans="1:52" ht="64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</row>
    <row r="877" spans="1:52" ht="64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</row>
    <row r="878" spans="1:52" ht="64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</row>
    <row r="879" spans="1:52" ht="64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</row>
    <row r="880" spans="1:52" ht="64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</row>
    <row r="881" spans="1:52" ht="64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</row>
    <row r="882" spans="1:52" ht="64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</row>
    <row r="883" spans="1:52" ht="64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</row>
    <row r="884" spans="1:52" ht="64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</row>
    <row r="885" spans="1:52" ht="64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</row>
    <row r="886" spans="1:52" ht="64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</row>
    <row r="887" spans="1:52" ht="64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</row>
    <row r="888" spans="1:52" ht="64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</row>
    <row r="889" spans="1:52" ht="64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</row>
    <row r="890" spans="1:52" ht="64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</row>
    <row r="891" spans="1:52" ht="64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</row>
    <row r="892" spans="1:52" ht="64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</row>
    <row r="893" spans="1:52" ht="64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</row>
    <row r="894" spans="1:52" ht="64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</row>
    <row r="895" spans="1:52" ht="64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</row>
    <row r="896" spans="1:52" ht="64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</row>
    <row r="897" spans="1:52" ht="64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</row>
    <row r="898" spans="1:52" ht="64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</row>
    <row r="899" spans="1:52" ht="64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</row>
    <row r="900" spans="1:52" ht="64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</row>
    <row r="901" spans="1:52" ht="64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</row>
    <row r="902" spans="1:52" ht="64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</row>
    <row r="903" spans="1:52" ht="64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</row>
    <row r="904" spans="1:52" ht="64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</row>
    <row r="905" spans="1:52" ht="64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</row>
    <row r="906" spans="1:52" ht="64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</row>
    <row r="907" spans="1:52" ht="64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</row>
    <row r="908" spans="1:52" ht="64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</row>
    <row r="909" spans="1:52" ht="64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</row>
    <row r="910" spans="1:52" ht="64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</row>
    <row r="911" spans="1:52" ht="64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</row>
    <row r="912" spans="1:52" ht="64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</row>
    <row r="913" spans="1:52" ht="64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</row>
    <row r="914" spans="1:52" ht="64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</row>
    <row r="915" spans="1:52" ht="64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</row>
    <row r="916" spans="1:52" ht="64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</row>
    <row r="917" spans="1:52" ht="64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</row>
    <row r="918" spans="1:52" ht="64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</row>
    <row r="919" spans="1:52" ht="64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</row>
    <row r="920" spans="1:52" ht="64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</row>
    <row r="921" spans="1:52" ht="64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</row>
    <row r="922" spans="1:52" ht="64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</row>
    <row r="923" spans="1:52" ht="64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</row>
    <row r="924" spans="1:52" ht="64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</row>
    <row r="925" spans="1:52" ht="64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</row>
    <row r="926" spans="1:52" ht="64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</row>
    <row r="927" spans="1:52" ht="64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</row>
    <row r="928" spans="1:52" ht="64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</row>
    <row r="929" spans="1:52" ht="64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</row>
    <row r="930" spans="1:52" ht="64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</row>
    <row r="931" spans="1:52" ht="64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</row>
    <row r="932" spans="1:52" ht="64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</row>
    <row r="933" spans="1:52" ht="64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</row>
    <row r="934" spans="1:52" ht="64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</row>
    <row r="935" spans="1:52" ht="64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</row>
    <row r="936" spans="1:52" ht="64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</row>
    <row r="937" spans="1:52" ht="64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</row>
    <row r="938" spans="1:52" ht="64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</row>
    <row r="939" spans="1:52" ht="64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</row>
    <row r="940" spans="1:52" ht="64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</row>
    <row r="941" spans="1:52" ht="64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</row>
    <row r="942" spans="1:52" ht="64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</row>
    <row r="943" spans="1:52" ht="64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</row>
    <row r="944" spans="1:52" ht="64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</row>
    <row r="945" spans="1:52" ht="64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</row>
    <row r="946" spans="1:52" ht="64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</row>
    <row r="947" spans="1:52" ht="64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</row>
    <row r="948" spans="1:52" ht="64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</row>
    <row r="949" spans="1:52" ht="64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</row>
    <row r="950" spans="1:52" ht="64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</row>
    <row r="951" spans="1:52" ht="64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</row>
    <row r="952" spans="1:52" ht="64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</row>
    <row r="953" spans="1:52" ht="64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</row>
    <row r="954" spans="1:52" ht="64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</row>
    <row r="955" spans="1:52" ht="64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</row>
    <row r="956" spans="1:52" ht="64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</row>
    <row r="957" spans="1:52" ht="64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</row>
    <row r="958" spans="1:52" ht="64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</row>
    <row r="959" spans="1:52" ht="64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</row>
    <row r="960" spans="1:52" ht="64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</row>
    <row r="961" spans="1:52" ht="64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</row>
    <row r="962" spans="1:52" ht="64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</row>
    <row r="963" spans="1:52" ht="64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</row>
    <row r="964" spans="1:52" ht="64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</row>
    <row r="965" spans="1:52" ht="64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</row>
    <row r="966" spans="1:52" ht="64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</row>
    <row r="967" spans="1:52" ht="64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</row>
    <row r="968" spans="1:52" ht="64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</row>
    <row r="969" spans="1:52" ht="64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</row>
    <row r="970" spans="1:52" ht="64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</row>
    <row r="971" spans="1:52" ht="64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</row>
    <row r="972" spans="1:52" ht="64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</row>
    <row r="973" spans="1:52" ht="64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</row>
    <row r="974" spans="1:52" ht="64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</row>
    <row r="975" spans="1:52" ht="64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</row>
    <row r="976" spans="1:52" ht="64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</row>
    <row r="977" spans="1:52" ht="64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</row>
    <row r="978" spans="1:52" ht="64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</row>
    <row r="979" spans="1:52" ht="64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</row>
    <row r="980" spans="1:52" ht="64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</row>
    <row r="981" spans="1:52" ht="64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</row>
    <row r="982" spans="1:52" ht="64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</row>
    <row r="983" spans="1:52" ht="64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</row>
    <row r="984" spans="1:52" ht="64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</row>
    <row r="985" spans="1:52" ht="64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</row>
    <row r="986" spans="1:52" ht="64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</row>
    <row r="987" spans="1:52" ht="64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</row>
    <row r="988" spans="1:52" ht="64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</row>
    <row r="989" spans="1:52" ht="64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</row>
    <row r="990" spans="1:52" ht="64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</row>
    <row r="991" spans="1:52" ht="64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</row>
    <row r="992" spans="1:52" ht="64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</row>
    <row r="993" spans="1:52" ht="64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</row>
    <row r="994" spans="1:52" ht="64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</row>
    <row r="995" spans="1:52" ht="64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</row>
    <row r="996" spans="1:52" ht="64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</row>
    <row r="997" spans="1:52" ht="64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</row>
    <row r="998" spans="1:52" ht="64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</row>
    <row r="999" spans="1:52" ht="64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</row>
    <row r="1000" spans="1:52" ht="64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Dashboard</vt:lpstr>
      <vt:lpstr>Validation_Cases</vt:lpstr>
      <vt:lpstr>Detailed_Measurements</vt:lpstr>
      <vt:lpstr>Source_Index</vt:lpstr>
      <vt:lpstr>Digitization_Queue</vt:lpstr>
      <vt:lpstr>Completeness_Map</vt:lpstr>
      <vt:lpstr>Variable_Dictionary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 Parag Ashar</cp:lastModifiedBy>
  <dcterms:modified xsi:type="dcterms:W3CDTF">2026-07-27T18:18:39Z</dcterms:modified>
</cp:coreProperties>
</file>